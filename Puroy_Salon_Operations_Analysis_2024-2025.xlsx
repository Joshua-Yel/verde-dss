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veni\Downloads\"/>
    </mc:Choice>
  </mc:AlternateContent>
  <xr:revisionPtr revIDLastSave="0" documentId="13_ncr:1_{F3AAC0E1-C414-4665-AF8D-C9030B41E2FB}" xr6:coauthVersionLast="47" xr6:coauthVersionMax="47" xr10:uidLastSave="{00000000-0000-0000-0000-000000000000}"/>
  <bookViews>
    <workbookView xWindow="-110" yWindow="-110" windowWidth="19420" windowHeight="10300" tabRatio="500" firstSheet="7" activeTab="9" xr2:uid="{00000000-000D-0000-FFFF-FFFF00000000}"/>
  </bookViews>
  <sheets>
    <sheet name="Dashboard" sheetId="1" r:id="rId1"/>
    <sheet name="Daily Data" sheetId="2" r:id="rId2"/>
    <sheet name="Monthly Trends" sheetId="3" r:id="rId3"/>
    <sheet name="Weekly Trends" sheetId="4" r:id="rId4"/>
    <sheet name="Quarterly Trends" sheetId="5" r:id="rId5"/>
    <sheet name="Biannual Trends" sheetId="6" r:id="rId6"/>
    <sheet name="Annual &amp; YoY" sheetId="7" r:id="rId7"/>
    <sheet name="AM-PM Demand" sheetId="8" r:id="rId8"/>
    <sheet name="Inventory Tracker" sheetId="9" r:id="rId9"/>
    <sheet name="ABC Analysis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7" i="10" l="1"/>
  <c r="F46" i="10"/>
  <c r="F45" i="10"/>
  <c r="F44" i="10"/>
  <c r="F43" i="10"/>
  <c r="F42" i="10"/>
  <c r="F41" i="10"/>
  <c r="C15" i="10"/>
  <c r="C14" i="10"/>
  <c r="C13" i="10"/>
  <c r="C12" i="10"/>
  <c r="C11" i="10"/>
  <c r="C10" i="10"/>
  <c r="C9" i="10"/>
  <c r="C8" i="10"/>
  <c r="C7" i="10"/>
  <c r="C6" i="10"/>
  <c r="C5" i="10"/>
  <c r="C4" i="10"/>
  <c r="F27" i="8"/>
  <c r="H27" i="8" s="1"/>
  <c r="E27" i="8"/>
  <c r="D27" i="8"/>
  <c r="D30" i="8" s="1"/>
  <c r="C27" i="8"/>
  <c r="C30" i="8" s="1"/>
  <c r="F26" i="8"/>
  <c r="H26" i="8" s="1"/>
  <c r="E26" i="8"/>
  <c r="D26" i="8"/>
  <c r="C26" i="8"/>
  <c r="F25" i="8"/>
  <c r="H25" i="8" s="1"/>
  <c r="E25" i="8"/>
  <c r="D25" i="8"/>
  <c r="C25" i="8"/>
  <c r="F24" i="8"/>
  <c r="E24" i="8"/>
  <c r="D24" i="8"/>
  <c r="C24" i="8"/>
  <c r="F23" i="8"/>
  <c r="E23" i="8"/>
  <c r="D23" i="8"/>
  <c r="C23" i="8"/>
  <c r="F22" i="8"/>
  <c r="E22" i="8"/>
  <c r="D22" i="8"/>
  <c r="C22" i="8"/>
  <c r="F21" i="8"/>
  <c r="E21" i="8"/>
  <c r="D21" i="8"/>
  <c r="C21" i="8"/>
  <c r="F20" i="8"/>
  <c r="E20" i="8"/>
  <c r="G20" i="8" s="1"/>
  <c r="D20" i="8"/>
  <c r="C20" i="8"/>
  <c r="F19" i="8"/>
  <c r="E19" i="8"/>
  <c r="D19" i="8"/>
  <c r="C19" i="8"/>
  <c r="F18" i="8"/>
  <c r="E18" i="8"/>
  <c r="D18" i="8"/>
  <c r="C18" i="8"/>
  <c r="F17" i="8"/>
  <c r="H17" i="8" s="1"/>
  <c r="E17" i="8"/>
  <c r="G17" i="8" s="1"/>
  <c r="D17" i="8"/>
  <c r="C17" i="8"/>
  <c r="F16" i="8"/>
  <c r="E16" i="8"/>
  <c r="D16" i="8"/>
  <c r="C16" i="8"/>
  <c r="I15" i="8"/>
  <c r="H15" i="8"/>
  <c r="F15" i="8"/>
  <c r="E15" i="8"/>
  <c r="D15" i="8"/>
  <c r="C15" i="8"/>
  <c r="F14" i="8"/>
  <c r="H14" i="8" s="1"/>
  <c r="E14" i="8"/>
  <c r="G14" i="8" s="1"/>
  <c r="D14" i="8"/>
  <c r="C14" i="8"/>
  <c r="F13" i="8"/>
  <c r="H13" i="8" s="1"/>
  <c r="E13" i="8"/>
  <c r="D13" i="8"/>
  <c r="C13" i="8"/>
  <c r="F12" i="8"/>
  <c r="E12" i="8"/>
  <c r="D12" i="8"/>
  <c r="C12" i="8"/>
  <c r="F11" i="8"/>
  <c r="E11" i="8"/>
  <c r="I11" i="8" s="1"/>
  <c r="D11" i="8"/>
  <c r="C11" i="8"/>
  <c r="F10" i="8"/>
  <c r="H10" i="8" s="1"/>
  <c r="E10" i="8"/>
  <c r="G10" i="8" s="1"/>
  <c r="D10" i="8"/>
  <c r="C10" i="8"/>
  <c r="F9" i="8"/>
  <c r="E9" i="8"/>
  <c r="I9" i="8" s="1"/>
  <c r="D9" i="8"/>
  <c r="C9" i="8"/>
  <c r="F8" i="8"/>
  <c r="H8" i="8" s="1"/>
  <c r="E8" i="8"/>
  <c r="I8" i="8" s="1"/>
  <c r="D8" i="8"/>
  <c r="C8" i="8"/>
  <c r="F7" i="8"/>
  <c r="E7" i="8"/>
  <c r="G7" i="8" s="1"/>
  <c r="D7" i="8"/>
  <c r="C7" i="8"/>
  <c r="F6" i="8"/>
  <c r="E6" i="8"/>
  <c r="D6" i="8"/>
  <c r="C6" i="8"/>
  <c r="F5" i="8"/>
  <c r="E5" i="8"/>
  <c r="D5" i="8"/>
  <c r="C5" i="8"/>
  <c r="F4" i="8"/>
  <c r="E4" i="8"/>
  <c r="D4" i="8"/>
  <c r="C4" i="8"/>
  <c r="C5" i="7"/>
  <c r="B5" i="7"/>
  <c r="C4" i="7"/>
  <c r="B4" i="7"/>
  <c r="B6" i="7" s="1"/>
  <c r="D7" i="6"/>
  <c r="H7" i="6" s="1"/>
  <c r="C7" i="6"/>
  <c r="D6" i="6"/>
  <c r="C6" i="6"/>
  <c r="D5" i="6"/>
  <c r="H6" i="6" s="1"/>
  <c r="C5" i="6"/>
  <c r="D4" i="6"/>
  <c r="C4" i="6"/>
  <c r="D11" i="5"/>
  <c r="H11" i="5" s="1"/>
  <c r="C11" i="5"/>
  <c r="D10" i="5"/>
  <c r="G11" i="5" s="1"/>
  <c r="C10" i="5"/>
  <c r="D9" i="5"/>
  <c r="C9" i="5"/>
  <c r="D8" i="5"/>
  <c r="H8" i="5" s="1"/>
  <c r="C8" i="5"/>
  <c r="D7" i="5"/>
  <c r="C7" i="5"/>
  <c r="D6" i="5"/>
  <c r="C6" i="5"/>
  <c r="D5" i="5"/>
  <c r="H5" i="5" s="1"/>
  <c r="C5" i="5"/>
  <c r="D4" i="5"/>
  <c r="G5" i="5" s="1"/>
  <c r="C4" i="5"/>
  <c r="H108" i="4"/>
  <c r="G108" i="4"/>
  <c r="E108" i="4"/>
  <c r="D108" i="4"/>
  <c r="E107" i="4"/>
  <c r="D107" i="4"/>
  <c r="E106" i="4"/>
  <c r="G107" i="4" s="1"/>
  <c r="D106" i="4"/>
  <c r="E105" i="4"/>
  <c r="D105" i="4"/>
  <c r="E104" i="4"/>
  <c r="H104" i="4" s="1"/>
  <c r="D104" i="4"/>
  <c r="E103" i="4"/>
  <c r="D103" i="4"/>
  <c r="E102" i="4"/>
  <c r="D102" i="4"/>
  <c r="E101" i="4"/>
  <c r="D101" i="4"/>
  <c r="E100" i="4"/>
  <c r="D100" i="4"/>
  <c r="E99" i="4"/>
  <c r="D99" i="4"/>
  <c r="H98" i="4"/>
  <c r="E98" i="4"/>
  <c r="D98" i="4"/>
  <c r="E97" i="4"/>
  <c r="G98" i="4" s="1"/>
  <c r="D97" i="4"/>
  <c r="E96" i="4"/>
  <c r="D96" i="4"/>
  <c r="E95" i="4"/>
  <c r="D95" i="4"/>
  <c r="E94" i="4"/>
  <c r="D94" i="4"/>
  <c r="E93" i="4"/>
  <c r="D93" i="4"/>
  <c r="E92" i="4"/>
  <c r="H92" i="4" s="1"/>
  <c r="D92" i="4"/>
  <c r="E91" i="4"/>
  <c r="G92" i="4" s="1"/>
  <c r="D91" i="4"/>
  <c r="E90" i="4"/>
  <c r="G91" i="4" s="1"/>
  <c r="D90" i="4"/>
  <c r="E89" i="4"/>
  <c r="D89" i="4"/>
  <c r="E88" i="4"/>
  <c r="D88" i="4"/>
  <c r="E87" i="4"/>
  <c r="H87" i="4" s="1"/>
  <c r="D87" i="4"/>
  <c r="E86" i="4"/>
  <c r="G87" i="4" s="1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G75" i="4" s="1"/>
  <c r="D75" i="4"/>
  <c r="H74" i="4"/>
  <c r="E74" i="4"/>
  <c r="D74" i="4"/>
  <c r="E73" i="4"/>
  <c r="G74" i="4" s="1"/>
  <c r="D73" i="4"/>
  <c r="E72" i="4"/>
  <c r="G73" i="4" s="1"/>
  <c r="D72" i="4"/>
  <c r="E71" i="4"/>
  <c r="D71" i="4"/>
  <c r="E70" i="4"/>
  <c r="G71" i="4" s="1"/>
  <c r="D70" i="4"/>
  <c r="E69" i="4"/>
  <c r="D69" i="4"/>
  <c r="E68" i="4"/>
  <c r="H68" i="4" s="1"/>
  <c r="D68" i="4"/>
  <c r="E67" i="4"/>
  <c r="G68" i="4" s="1"/>
  <c r="D67" i="4"/>
  <c r="E66" i="4"/>
  <c r="H66" i="4" s="1"/>
  <c r="D66" i="4"/>
  <c r="E65" i="4"/>
  <c r="D65" i="4"/>
  <c r="E64" i="4"/>
  <c r="G65" i="4" s="1"/>
  <c r="D64" i="4"/>
  <c r="E63" i="4"/>
  <c r="D63" i="4"/>
  <c r="E62" i="4"/>
  <c r="D62" i="4"/>
  <c r="E61" i="4"/>
  <c r="D61" i="4"/>
  <c r="E60" i="4"/>
  <c r="G61" i="4" s="1"/>
  <c r="D60" i="4"/>
  <c r="E59" i="4"/>
  <c r="G60" i="4" s="1"/>
  <c r="D59" i="4"/>
  <c r="E58" i="4"/>
  <c r="D58" i="4"/>
  <c r="E57" i="4"/>
  <c r="D57" i="4"/>
  <c r="E56" i="4"/>
  <c r="H57" i="4" s="1"/>
  <c r="D56" i="4"/>
  <c r="E55" i="4"/>
  <c r="G56" i="4" s="1"/>
  <c r="D55" i="4"/>
  <c r="E54" i="4"/>
  <c r="D54" i="4"/>
  <c r="E53" i="4"/>
  <c r="D53" i="4"/>
  <c r="E52" i="4"/>
  <c r="D52" i="4"/>
  <c r="E51" i="4"/>
  <c r="H51" i="4" s="1"/>
  <c r="D51" i="4"/>
  <c r="E50" i="4"/>
  <c r="D50" i="4"/>
  <c r="E49" i="4"/>
  <c r="D49" i="4"/>
  <c r="E48" i="4"/>
  <c r="D48" i="4"/>
  <c r="E47" i="4"/>
  <c r="D47" i="4"/>
  <c r="E46" i="4"/>
  <c r="D46" i="4"/>
  <c r="E45" i="4"/>
  <c r="H45" i="4" s="1"/>
  <c r="D45" i="4"/>
  <c r="E44" i="4"/>
  <c r="H44" i="4" s="1"/>
  <c r="D44" i="4"/>
  <c r="H43" i="4"/>
  <c r="E43" i="4"/>
  <c r="G43" i="4" s="1"/>
  <c r="D43" i="4"/>
  <c r="E42" i="4"/>
  <c r="D42" i="4"/>
  <c r="E41" i="4"/>
  <c r="D41" i="4"/>
  <c r="E40" i="4"/>
  <c r="D40" i="4"/>
  <c r="E39" i="4"/>
  <c r="H39" i="4" s="1"/>
  <c r="D39" i="4"/>
  <c r="E38" i="4"/>
  <c r="D38" i="4"/>
  <c r="E37" i="4"/>
  <c r="D37" i="4"/>
  <c r="E36" i="4"/>
  <c r="H36" i="4" s="1"/>
  <c r="D36" i="4"/>
  <c r="E35" i="4"/>
  <c r="D35" i="4"/>
  <c r="E34" i="4"/>
  <c r="D34" i="4"/>
  <c r="E33" i="4"/>
  <c r="D33" i="4"/>
  <c r="E32" i="4"/>
  <c r="H32" i="4" s="1"/>
  <c r="D32" i="4"/>
  <c r="E31" i="4"/>
  <c r="G32" i="4" s="1"/>
  <c r="D31" i="4"/>
  <c r="E30" i="4"/>
  <c r="D30" i="4"/>
  <c r="E29" i="4"/>
  <c r="D29" i="4"/>
  <c r="E28" i="4"/>
  <c r="D28" i="4"/>
  <c r="E27" i="4"/>
  <c r="D27" i="4"/>
  <c r="E26" i="4"/>
  <c r="H26" i="4" s="1"/>
  <c r="D26" i="4"/>
  <c r="E25" i="4"/>
  <c r="G26" i="4" s="1"/>
  <c r="D25" i="4"/>
  <c r="E24" i="4"/>
  <c r="D24" i="4"/>
  <c r="E23" i="4"/>
  <c r="D23" i="4"/>
  <c r="E22" i="4"/>
  <c r="D22" i="4"/>
  <c r="E21" i="4"/>
  <c r="H22" i="4" s="1"/>
  <c r="D21" i="4"/>
  <c r="E20" i="4"/>
  <c r="D20" i="4"/>
  <c r="E19" i="4"/>
  <c r="G20" i="4" s="1"/>
  <c r="D19" i="4"/>
  <c r="E18" i="4"/>
  <c r="G18" i="4" s="1"/>
  <c r="D18" i="4"/>
  <c r="E17" i="4"/>
  <c r="D17" i="4"/>
  <c r="E16" i="4"/>
  <c r="D16" i="4"/>
  <c r="E15" i="4"/>
  <c r="D15" i="4"/>
  <c r="E14" i="4"/>
  <c r="G14" i="4" s="1"/>
  <c r="D14" i="4"/>
  <c r="E13" i="4"/>
  <c r="D13" i="4"/>
  <c r="E12" i="4"/>
  <c r="H12" i="4" s="1"/>
  <c r="D12" i="4"/>
  <c r="E11" i="4"/>
  <c r="G12" i="4" s="1"/>
  <c r="D11" i="4"/>
  <c r="E10" i="4"/>
  <c r="D10" i="4"/>
  <c r="E9" i="4"/>
  <c r="H9" i="4" s="1"/>
  <c r="D9" i="4"/>
  <c r="E8" i="4"/>
  <c r="G9" i="4" s="1"/>
  <c r="D8" i="4"/>
  <c r="E7" i="4"/>
  <c r="D7" i="4"/>
  <c r="E6" i="4"/>
  <c r="D6" i="4"/>
  <c r="E5" i="4"/>
  <c r="D5" i="4"/>
  <c r="E4" i="4"/>
  <c r="D4" i="4"/>
  <c r="D27" i="3"/>
  <c r="C27" i="3"/>
  <c r="D26" i="3"/>
  <c r="C26" i="3"/>
  <c r="J26" i="3" s="1"/>
  <c r="J25" i="3"/>
  <c r="D25" i="3"/>
  <c r="H26" i="3" s="1"/>
  <c r="C25" i="3"/>
  <c r="D24" i="3"/>
  <c r="C24" i="3"/>
  <c r="D23" i="3"/>
  <c r="I24" i="3" s="1"/>
  <c r="C23" i="3"/>
  <c r="J24" i="3" s="1"/>
  <c r="D22" i="3"/>
  <c r="H23" i="3" s="1"/>
  <c r="C22" i="3"/>
  <c r="D21" i="3"/>
  <c r="C21" i="3"/>
  <c r="D20" i="3"/>
  <c r="C20" i="3"/>
  <c r="D19" i="3"/>
  <c r="C19" i="3"/>
  <c r="D18" i="3"/>
  <c r="H19" i="3" s="1"/>
  <c r="C18" i="3"/>
  <c r="J19" i="3" s="1"/>
  <c r="H17" i="3"/>
  <c r="D17" i="3"/>
  <c r="C17" i="3"/>
  <c r="D16" i="3"/>
  <c r="C16" i="3"/>
  <c r="D15" i="3"/>
  <c r="C15" i="3"/>
  <c r="D14" i="3"/>
  <c r="C14" i="3"/>
  <c r="D13" i="3"/>
  <c r="H14" i="3" s="1"/>
  <c r="C13" i="3"/>
  <c r="J14" i="3" s="1"/>
  <c r="D12" i="3"/>
  <c r="C12" i="3"/>
  <c r="D11" i="3"/>
  <c r="C11" i="3"/>
  <c r="D10" i="3"/>
  <c r="C10" i="3"/>
  <c r="D9" i="3"/>
  <c r="H10" i="3" s="1"/>
  <c r="C9" i="3"/>
  <c r="D8" i="3"/>
  <c r="C8" i="3"/>
  <c r="D7" i="3"/>
  <c r="C9" i="1" s="1"/>
  <c r="C7" i="3"/>
  <c r="D6" i="3"/>
  <c r="C6" i="3"/>
  <c r="D5" i="3"/>
  <c r="C5" i="3"/>
  <c r="J6" i="3" s="1"/>
  <c r="D4" i="3"/>
  <c r="C4" i="3"/>
  <c r="O734" i="2"/>
  <c r="P734" i="2" s="1"/>
  <c r="O733" i="2"/>
  <c r="P733" i="2" s="1"/>
  <c r="O732" i="2"/>
  <c r="P732" i="2" s="1"/>
  <c r="O731" i="2"/>
  <c r="P731" i="2" s="1"/>
  <c r="O730" i="2"/>
  <c r="P730" i="2" s="1"/>
  <c r="O729" i="2"/>
  <c r="P729" i="2" s="1"/>
  <c r="O728" i="2"/>
  <c r="P728" i="2" s="1"/>
  <c r="O727" i="2"/>
  <c r="P727" i="2" s="1"/>
  <c r="O726" i="2"/>
  <c r="P726" i="2" s="1"/>
  <c r="O725" i="2"/>
  <c r="P725" i="2" s="1"/>
  <c r="O724" i="2"/>
  <c r="P724" i="2" s="1"/>
  <c r="O723" i="2"/>
  <c r="P723" i="2" s="1"/>
  <c r="O722" i="2"/>
  <c r="P722" i="2" s="1"/>
  <c r="P721" i="2"/>
  <c r="O721" i="2"/>
  <c r="O720" i="2"/>
  <c r="P720" i="2" s="1"/>
  <c r="P719" i="2"/>
  <c r="O719" i="2"/>
  <c r="O718" i="2"/>
  <c r="P718" i="2" s="1"/>
  <c r="O717" i="2"/>
  <c r="P717" i="2" s="1"/>
  <c r="O716" i="2"/>
  <c r="P716" i="2" s="1"/>
  <c r="O715" i="2"/>
  <c r="P715" i="2" s="1"/>
  <c r="O714" i="2"/>
  <c r="P714" i="2" s="1"/>
  <c r="O713" i="2"/>
  <c r="P713" i="2" s="1"/>
  <c r="O712" i="2"/>
  <c r="P712" i="2" s="1"/>
  <c r="O711" i="2"/>
  <c r="P711" i="2" s="1"/>
  <c r="O710" i="2"/>
  <c r="P710" i="2" s="1"/>
  <c r="O709" i="2"/>
  <c r="P709" i="2" s="1"/>
  <c r="O708" i="2"/>
  <c r="P708" i="2" s="1"/>
  <c r="O707" i="2"/>
  <c r="P707" i="2" s="1"/>
  <c r="O706" i="2"/>
  <c r="P706" i="2" s="1"/>
  <c r="O705" i="2"/>
  <c r="P705" i="2" s="1"/>
  <c r="O704" i="2"/>
  <c r="P704" i="2" s="1"/>
  <c r="O703" i="2"/>
  <c r="P703" i="2" s="1"/>
  <c r="O702" i="2"/>
  <c r="P702" i="2" s="1"/>
  <c r="P701" i="2"/>
  <c r="O701" i="2"/>
  <c r="O700" i="2"/>
  <c r="P700" i="2" s="1"/>
  <c r="O699" i="2"/>
  <c r="P699" i="2" s="1"/>
  <c r="O698" i="2"/>
  <c r="P698" i="2" s="1"/>
  <c r="O697" i="2"/>
  <c r="P697" i="2" s="1"/>
  <c r="O696" i="2"/>
  <c r="P696" i="2" s="1"/>
  <c r="O695" i="2"/>
  <c r="P695" i="2" s="1"/>
  <c r="O694" i="2"/>
  <c r="P694" i="2" s="1"/>
  <c r="O693" i="2"/>
  <c r="P693" i="2" s="1"/>
  <c r="O692" i="2"/>
  <c r="P692" i="2" s="1"/>
  <c r="P691" i="2"/>
  <c r="O691" i="2"/>
  <c r="O690" i="2"/>
  <c r="P690" i="2" s="1"/>
  <c r="O689" i="2"/>
  <c r="P689" i="2" s="1"/>
  <c r="O688" i="2"/>
  <c r="P688" i="2" s="1"/>
  <c r="O687" i="2"/>
  <c r="P687" i="2" s="1"/>
  <c r="O686" i="2"/>
  <c r="P686" i="2" s="1"/>
  <c r="O685" i="2"/>
  <c r="P685" i="2" s="1"/>
  <c r="P684" i="2"/>
  <c r="O684" i="2"/>
  <c r="O683" i="2"/>
  <c r="P683" i="2" s="1"/>
  <c r="O682" i="2"/>
  <c r="P682" i="2" s="1"/>
  <c r="P681" i="2"/>
  <c r="O681" i="2"/>
  <c r="O680" i="2"/>
  <c r="P680" i="2" s="1"/>
  <c r="O679" i="2"/>
  <c r="P679" i="2" s="1"/>
  <c r="O678" i="2"/>
  <c r="P678" i="2" s="1"/>
  <c r="O677" i="2"/>
  <c r="P677" i="2" s="1"/>
  <c r="O676" i="2"/>
  <c r="P676" i="2" s="1"/>
  <c r="O675" i="2"/>
  <c r="P675" i="2" s="1"/>
  <c r="O674" i="2"/>
  <c r="P674" i="2" s="1"/>
  <c r="O673" i="2"/>
  <c r="P673" i="2" s="1"/>
  <c r="O672" i="2"/>
  <c r="P672" i="2" s="1"/>
  <c r="O671" i="2"/>
  <c r="P671" i="2" s="1"/>
  <c r="O670" i="2"/>
  <c r="P670" i="2" s="1"/>
  <c r="O669" i="2"/>
  <c r="P669" i="2" s="1"/>
  <c r="O668" i="2"/>
  <c r="P668" i="2" s="1"/>
  <c r="O667" i="2"/>
  <c r="P667" i="2" s="1"/>
  <c r="P666" i="2"/>
  <c r="O666" i="2"/>
  <c r="O665" i="2"/>
  <c r="P665" i="2" s="1"/>
  <c r="O664" i="2"/>
  <c r="P664" i="2" s="1"/>
  <c r="O663" i="2"/>
  <c r="P663" i="2" s="1"/>
  <c r="O662" i="2"/>
  <c r="P662" i="2" s="1"/>
  <c r="O661" i="2"/>
  <c r="P661" i="2" s="1"/>
  <c r="O660" i="2"/>
  <c r="P660" i="2" s="1"/>
  <c r="O659" i="2"/>
  <c r="P659" i="2" s="1"/>
  <c r="O658" i="2"/>
  <c r="P658" i="2" s="1"/>
  <c r="O657" i="2"/>
  <c r="P657" i="2" s="1"/>
  <c r="O656" i="2"/>
  <c r="P656" i="2" s="1"/>
  <c r="O655" i="2"/>
  <c r="P655" i="2" s="1"/>
  <c r="O654" i="2"/>
  <c r="P654" i="2" s="1"/>
  <c r="O653" i="2"/>
  <c r="P653" i="2" s="1"/>
  <c r="O652" i="2"/>
  <c r="P652" i="2" s="1"/>
  <c r="O651" i="2"/>
  <c r="P651" i="2" s="1"/>
  <c r="O650" i="2"/>
  <c r="P650" i="2" s="1"/>
  <c r="O649" i="2"/>
  <c r="P649" i="2" s="1"/>
  <c r="O648" i="2"/>
  <c r="P648" i="2" s="1"/>
  <c r="O647" i="2"/>
  <c r="P647" i="2" s="1"/>
  <c r="O646" i="2"/>
  <c r="P646" i="2" s="1"/>
  <c r="P645" i="2"/>
  <c r="O645" i="2"/>
  <c r="O644" i="2"/>
  <c r="P644" i="2" s="1"/>
  <c r="O643" i="2"/>
  <c r="P643" i="2" s="1"/>
  <c r="O642" i="2"/>
  <c r="P642" i="2" s="1"/>
  <c r="O641" i="2"/>
  <c r="P641" i="2" s="1"/>
  <c r="O640" i="2"/>
  <c r="P640" i="2" s="1"/>
  <c r="P639" i="2"/>
  <c r="O639" i="2"/>
  <c r="O638" i="2"/>
  <c r="P638" i="2" s="1"/>
  <c r="O637" i="2"/>
  <c r="P637" i="2" s="1"/>
  <c r="O636" i="2"/>
  <c r="P636" i="2" s="1"/>
  <c r="O635" i="2"/>
  <c r="P635" i="2" s="1"/>
  <c r="O634" i="2"/>
  <c r="P634" i="2" s="1"/>
  <c r="O633" i="2"/>
  <c r="P633" i="2" s="1"/>
  <c r="O632" i="2"/>
  <c r="P632" i="2" s="1"/>
  <c r="O631" i="2"/>
  <c r="P631" i="2" s="1"/>
  <c r="P630" i="2"/>
  <c r="O630" i="2"/>
  <c r="O629" i="2"/>
  <c r="P629" i="2" s="1"/>
  <c r="O628" i="2"/>
  <c r="P628" i="2" s="1"/>
  <c r="O627" i="2"/>
  <c r="P627" i="2" s="1"/>
  <c r="O626" i="2"/>
  <c r="P626" i="2" s="1"/>
  <c r="O625" i="2"/>
  <c r="P625" i="2" s="1"/>
  <c r="O624" i="2"/>
  <c r="P624" i="2" s="1"/>
  <c r="O623" i="2"/>
  <c r="P623" i="2" s="1"/>
  <c r="O622" i="2"/>
  <c r="P622" i="2" s="1"/>
  <c r="O621" i="2"/>
  <c r="P621" i="2" s="1"/>
  <c r="O620" i="2"/>
  <c r="P620" i="2" s="1"/>
  <c r="O619" i="2"/>
  <c r="P619" i="2" s="1"/>
  <c r="O618" i="2"/>
  <c r="P618" i="2" s="1"/>
  <c r="O617" i="2"/>
  <c r="P617" i="2" s="1"/>
  <c r="O616" i="2"/>
  <c r="P616" i="2" s="1"/>
  <c r="O615" i="2"/>
  <c r="P615" i="2" s="1"/>
  <c r="O614" i="2"/>
  <c r="P614" i="2" s="1"/>
  <c r="O613" i="2"/>
  <c r="P613" i="2" s="1"/>
  <c r="O612" i="2"/>
  <c r="P612" i="2" s="1"/>
  <c r="O611" i="2"/>
  <c r="P611" i="2" s="1"/>
  <c r="O610" i="2"/>
  <c r="P610" i="2" s="1"/>
  <c r="O609" i="2"/>
  <c r="P609" i="2" s="1"/>
  <c r="O608" i="2"/>
  <c r="P608" i="2" s="1"/>
  <c r="O607" i="2"/>
  <c r="P607" i="2" s="1"/>
  <c r="O606" i="2"/>
  <c r="P606" i="2" s="1"/>
  <c r="O605" i="2"/>
  <c r="P605" i="2" s="1"/>
  <c r="O604" i="2"/>
  <c r="P604" i="2" s="1"/>
  <c r="O603" i="2"/>
  <c r="P603" i="2" s="1"/>
  <c r="O602" i="2"/>
  <c r="P602" i="2" s="1"/>
  <c r="O601" i="2"/>
  <c r="P601" i="2" s="1"/>
  <c r="O600" i="2"/>
  <c r="P600" i="2" s="1"/>
  <c r="O599" i="2"/>
  <c r="P599" i="2" s="1"/>
  <c r="O598" i="2"/>
  <c r="P598" i="2" s="1"/>
  <c r="O597" i="2"/>
  <c r="P597" i="2" s="1"/>
  <c r="O596" i="2"/>
  <c r="P596" i="2" s="1"/>
  <c r="O595" i="2"/>
  <c r="P595" i="2" s="1"/>
  <c r="O594" i="2"/>
  <c r="P594" i="2" s="1"/>
  <c r="P593" i="2"/>
  <c r="O593" i="2"/>
  <c r="O592" i="2"/>
  <c r="P592" i="2" s="1"/>
  <c r="O591" i="2"/>
  <c r="P591" i="2" s="1"/>
  <c r="O590" i="2"/>
  <c r="P590" i="2" s="1"/>
  <c r="O589" i="2"/>
  <c r="P589" i="2" s="1"/>
  <c r="O588" i="2"/>
  <c r="P588" i="2" s="1"/>
  <c r="O587" i="2"/>
  <c r="P587" i="2" s="1"/>
  <c r="P586" i="2"/>
  <c r="O586" i="2"/>
  <c r="O585" i="2"/>
  <c r="P585" i="2" s="1"/>
  <c r="O584" i="2"/>
  <c r="P584" i="2" s="1"/>
  <c r="O583" i="2"/>
  <c r="P583" i="2" s="1"/>
  <c r="O582" i="2"/>
  <c r="P582" i="2" s="1"/>
  <c r="O581" i="2"/>
  <c r="P581" i="2" s="1"/>
  <c r="O580" i="2"/>
  <c r="P580" i="2" s="1"/>
  <c r="P579" i="2"/>
  <c r="O579" i="2"/>
  <c r="P578" i="2"/>
  <c r="O578" i="2"/>
  <c r="O577" i="2"/>
  <c r="P577" i="2" s="1"/>
  <c r="O576" i="2"/>
  <c r="P576" i="2" s="1"/>
  <c r="O575" i="2"/>
  <c r="P575" i="2" s="1"/>
  <c r="O574" i="2"/>
  <c r="P574" i="2" s="1"/>
  <c r="O573" i="2"/>
  <c r="P573" i="2" s="1"/>
  <c r="O572" i="2"/>
  <c r="P572" i="2" s="1"/>
  <c r="O571" i="2"/>
  <c r="P571" i="2" s="1"/>
  <c r="O570" i="2"/>
  <c r="P570" i="2" s="1"/>
  <c r="P569" i="2"/>
  <c r="O569" i="2"/>
  <c r="O568" i="2"/>
  <c r="P568" i="2" s="1"/>
  <c r="O567" i="2"/>
  <c r="P567" i="2" s="1"/>
  <c r="O566" i="2"/>
  <c r="P566" i="2" s="1"/>
  <c r="O565" i="2"/>
  <c r="P565" i="2" s="1"/>
  <c r="O564" i="2"/>
  <c r="P564" i="2" s="1"/>
  <c r="O563" i="2"/>
  <c r="P563" i="2" s="1"/>
  <c r="O562" i="2"/>
  <c r="P562" i="2" s="1"/>
  <c r="O561" i="2"/>
  <c r="P561" i="2" s="1"/>
  <c r="P560" i="2"/>
  <c r="O560" i="2"/>
  <c r="O559" i="2"/>
  <c r="P559" i="2" s="1"/>
  <c r="P558" i="2"/>
  <c r="O558" i="2"/>
  <c r="O557" i="2"/>
  <c r="P557" i="2" s="1"/>
  <c r="O556" i="2"/>
  <c r="P556" i="2" s="1"/>
  <c r="O555" i="2"/>
  <c r="P555" i="2" s="1"/>
  <c r="O554" i="2"/>
  <c r="P554" i="2" s="1"/>
  <c r="O553" i="2"/>
  <c r="P553" i="2" s="1"/>
  <c r="O552" i="2"/>
  <c r="P552" i="2" s="1"/>
  <c r="O551" i="2"/>
  <c r="P551" i="2" s="1"/>
  <c r="O550" i="2"/>
  <c r="P550" i="2" s="1"/>
  <c r="O549" i="2"/>
  <c r="P549" i="2" s="1"/>
  <c r="O548" i="2"/>
  <c r="P548" i="2" s="1"/>
  <c r="O547" i="2"/>
  <c r="P547" i="2" s="1"/>
  <c r="O546" i="2"/>
  <c r="P546" i="2" s="1"/>
  <c r="O545" i="2"/>
  <c r="P545" i="2" s="1"/>
  <c r="O544" i="2"/>
  <c r="P544" i="2" s="1"/>
  <c r="O543" i="2"/>
  <c r="P543" i="2" s="1"/>
  <c r="O542" i="2"/>
  <c r="P542" i="2" s="1"/>
  <c r="O541" i="2"/>
  <c r="P541" i="2" s="1"/>
  <c r="O540" i="2"/>
  <c r="P540" i="2" s="1"/>
  <c r="O539" i="2"/>
  <c r="P539" i="2" s="1"/>
  <c r="O538" i="2"/>
  <c r="P538" i="2" s="1"/>
  <c r="O537" i="2"/>
  <c r="P537" i="2" s="1"/>
  <c r="O536" i="2"/>
  <c r="P536" i="2" s="1"/>
  <c r="O535" i="2"/>
  <c r="P535" i="2" s="1"/>
  <c r="O534" i="2"/>
  <c r="P534" i="2" s="1"/>
  <c r="O533" i="2"/>
  <c r="P533" i="2" s="1"/>
  <c r="P532" i="2"/>
  <c r="O532" i="2"/>
  <c r="O531" i="2"/>
  <c r="P531" i="2" s="1"/>
  <c r="O530" i="2"/>
  <c r="P530" i="2" s="1"/>
  <c r="O529" i="2"/>
  <c r="P529" i="2" s="1"/>
  <c r="O528" i="2"/>
  <c r="P528" i="2" s="1"/>
  <c r="O527" i="2"/>
  <c r="P527" i="2" s="1"/>
  <c r="O526" i="2"/>
  <c r="P526" i="2" s="1"/>
  <c r="O525" i="2"/>
  <c r="P525" i="2" s="1"/>
  <c r="O524" i="2"/>
  <c r="P524" i="2" s="1"/>
  <c r="O523" i="2"/>
  <c r="P523" i="2" s="1"/>
  <c r="O522" i="2"/>
  <c r="P522" i="2" s="1"/>
  <c r="O521" i="2"/>
  <c r="P521" i="2" s="1"/>
  <c r="P520" i="2"/>
  <c r="O520" i="2"/>
  <c r="O519" i="2"/>
  <c r="P519" i="2" s="1"/>
  <c r="O518" i="2"/>
  <c r="P518" i="2" s="1"/>
  <c r="O517" i="2"/>
  <c r="P517" i="2" s="1"/>
  <c r="O516" i="2"/>
  <c r="P516" i="2" s="1"/>
  <c r="O515" i="2"/>
  <c r="P515" i="2" s="1"/>
  <c r="P514" i="2"/>
  <c r="O514" i="2"/>
  <c r="O513" i="2"/>
  <c r="P513" i="2" s="1"/>
  <c r="O512" i="2"/>
  <c r="P512" i="2" s="1"/>
  <c r="O511" i="2"/>
  <c r="P511" i="2" s="1"/>
  <c r="O510" i="2"/>
  <c r="P510" i="2" s="1"/>
  <c r="O509" i="2"/>
  <c r="P509" i="2" s="1"/>
  <c r="O508" i="2"/>
  <c r="P508" i="2" s="1"/>
  <c r="O507" i="2"/>
  <c r="P507" i="2" s="1"/>
  <c r="O506" i="2"/>
  <c r="P506" i="2" s="1"/>
  <c r="O505" i="2"/>
  <c r="P505" i="2" s="1"/>
  <c r="P504" i="2"/>
  <c r="O504" i="2"/>
  <c r="O503" i="2"/>
  <c r="P503" i="2" s="1"/>
  <c r="O502" i="2"/>
  <c r="P502" i="2" s="1"/>
  <c r="O501" i="2"/>
  <c r="P501" i="2" s="1"/>
  <c r="O500" i="2"/>
  <c r="P500" i="2" s="1"/>
  <c r="O499" i="2"/>
  <c r="P499" i="2" s="1"/>
  <c r="O498" i="2"/>
  <c r="P498" i="2" s="1"/>
  <c r="O497" i="2"/>
  <c r="P497" i="2" s="1"/>
  <c r="O496" i="2"/>
  <c r="P496" i="2" s="1"/>
  <c r="O495" i="2"/>
  <c r="P495" i="2" s="1"/>
  <c r="O494" i="2"/>
  <c r="P494" i="2" s="1"/>
  <c r="O493" i="2"/>
  <c r="P493" i="2" s="1"/>
  <c r="O492" i="2"/>
  <c r="P492" i="2" s="1"/>
  <c r="O491" i="2"/>
  <c r="P491" i="2" s="1"/>
  <c r="O490" i="2"/>
  <c r="P490" i="2" s="1"/>
  <c r="O489" i="2"/>
  <c r="P489" i="2" s="1"/>
  <c r="O488" i="2"/>
  <c r="P488" i="2" s="1"/>
  <c r="O487" i="2"/>
  <c r="P487" i="2" s="1"/>
  <c r="O486" i="2"/>
  <c r="P486" i="2" s="1"/>
  <c r="O485" i="2"/>
  <c r="P485" i="2" s="1"/>
  <c r="P484" i="2"/>
  <c r="O484" i="2"/>
  <c r="P483" i="2"/>
  <c r="O483" i="2"/>
  <c r="O482" i="2"/>
  <c r="P482" i="2" s="1"/>
  <c r="O481" i="2"/>
  <c r="P481" i="2" s="1"/>
  <c r="O480" i="2"/>
  <c r="P480" i="2" s="1"/>
  <c r="O479" i="2"/>
  <c r="P479" i="2" s="1"/>
  <c r="O478" i="2"/>
  <c r="P478" i="2" s="1"/>
  <c r="O477" i="2"/>
  <c r="P477" i="2" s="1"/>
  <c r="P476" i="2"/>
  <c r="O476" i="2"/>
  <c r="O475" i="2"/>
  <c r="P475" i="2" s="1"/>
  <c r="O474" i="2"/>
  <c r="P474" i="2" s="1"/>
  <c r="O473" i="2"/>
  <c r="P473" i="2" s="1"/>
  <c r="O472" i="2"/>
  <c r="P472" i="2" s="1"/>
  <c r="O471" i="2"/>
  <c r="P471" i="2" s="1"/>
  <c r="O470" i="2"/>
  <c r="P470" i="2" s="1"/>
  <c r="O469" i="2"/>
  <c r="P469" i="2" s="1"/>
  <c r="O468" i="2"/>
  <c r="P468" i="2" s="1"/>
  <c r="O467" i="2"/>
  <c r="P467" i="2" s="1"/>
  <c r="O466" i="2"/>
  <c r="P466" i="2" s="1"/>
  <c r="O465" i="2"/>
  <c r="P465" i="2" s="1"/>
  <c r="O464" i="2"/>
  <c r="P464" i="2" s="1"/>
  <c r="O463" i="2"/>
  <c r="P463" i="2" s="1"/>
  <c r="O462" i="2"/>
  <c r="P462" i="2" s="1"/>
  <c r="O461" i="2"/>
  <c r="P461" i="2" s="1"/>
  <c r="O460" i="2"/>
  <c r="P460" i="2" s="1"/>
  <c r="O459" i="2"/>
  <c r="P459" i="2" s="1"/>
  <c r="P458" i="2"/>
  <c r="O458" i="2"/>
  <c r="O457" i="2"/>
  <c r="P457" i="2" s="1"/>
  <c r="O456" i="2"/>
  <c r="P456" i="2" s="1"/>
  <c r="O455" i="2"/>
  <c r="P455" i="2" s="1"/>
  <c r="O454" i="2"/>
  <c r="P454" i="2" s="1"/>
  <c r="O453" i="2"/>
  <c r="P453" i="2" s="1"/>
  <c r="O452" i="2"/>
  <c r="P452" i="2" s="1"/>
  <c r="O451" i="2"/>
  <c r="P451" i="2" s="1"/>
  <c r="O450" i="2"/>
  <c r="P450" i="2" s="1"/>
  <c r="O449" i="2"/>
  <c r="P449" i="2" s="1"/>
  <c r="O448" i="2"/>
  <c r="P448" i="2" s="1"/>
  <c r="O447" i="2"/>
  <c r="P447" i="2" s="1"/>
  <c r="O446" i="2"/>
  <c r="P446" i="2" s="1"/>
  <c r="O445" i="2"/>
  <c r="P445" i="2" s="1"/>
  <c r="O444" i="2"/>
  <c r="P444" i="2" s="1"/>
  <c r="O443" i="2"/>
  <c r="P443" i="2" s="1"/>
  <c r="O442" i="2"/>
  <c r="P442" i="2" s="1"/>
  <c r="O441" i="2"/>
  <c r="P441" i="2" s="1"/>
  <c r="O440" i="2"/>
  <c r="P440" i="2" s="1"/>
  <c r="O439" i="2"/>
  <c r="P439" i="2" s="1"/>
  <c r="O438" i="2"/>
  <c r="P438" i="2" s="1"/>
  <c r="O437" i="2"/>
  <c r="P437" i="2" s="1"/>
  <c r="O436" i="2"/>
  <c r="P436" i="2" s="1"/>
  <c r="O435" i="2"/>
  <c r="P435" i="2" s="1"/>
  <c r="O434" i="2"/>
  <c r="P434" i="2" s="1"/>
  <c r="O433" i="2"/>
  <c r="P433" i="2" s="1"/>
  <c r="O432" i="2"/>
  <c r="P432" i="2" s="1"/>
  <c r="O431" i="2"/>
  <c r="P431" i="2" s="1"/>
  <c r="P430" i="2"/>
  <c r="O430" i="2"/>
  <c r="O429" i="2"/>
  <c r="P429" i="2" s="1"/>
  <c r="O428" i="2"/>
  <c r="P428" i="2" s="1"/>
  <c r="O427" i="2"/>
  <c r="P427" i="2" s="1"/>
  <c r="O426" i="2"/>
  <c r="P426" i="2" s="1"/>
  <c r="O425" i="2"/>
  <c r="P425" i="2" s="1"/>
  <c r="O424" i="2"/>
  <c r="P424" i="2" s="1"/>
  <c r="O423" i="2"/>
  <c r="P423" i="2" s="1"/>
  <c r="P422" i="2"/>
  <c r="O422" i="2"/>
  <c r="O421" i="2"/>
  <c r="P421" i="2" s="1"/>
  <c r="O420" i="2"/>
  <c r="P420" i="2" s="1"/>
  <c r="O419" i="2"/>
  <c r="P419" i="2" s="1"/>
  <c r="O418" i="2"/>
  <c r="P418" i="2" s="1"/>
  <c r="O417" i="2"/>
  <c r="P417" i="2" s="1"/>
  <c r="O416" i="2"/>
  <c r="P416" i="2" s="1"/>
  <c r="O415" i="2"/>
  <c r="P415" i="2" s="1"/>
  <c r="O414" i="2"/>
  <c r="P414" i="2" s="1"/>
  <c r="P413" i="2"/>
  <c r="O413" i="2"/>
  <c r="O412" i="2"/>
  <c r="P412" i="2" s="1"/>
  <c r="O411" i="2"/>
  <c r="P411" i="2" s="1"/>
  <c r="O410" i="2"/>
  <c r="P410" i="2" s="1"/>
  <c r="O409" i="2"/>
  <c r="P409" i="2" s="1"/>
  <c r="O408" i="2"/>
  <c r="P408" i="2" s="1"/>
  <c r="O407" i="2"/>
  <c r="P407" i="2" s="1"/>
  <c r="O406" i="2"/>
  <c r="P406" i="2" s="1"/>
  <c r="O405" i="2"/>
  <c r="P405" i="2" s="1"/>
  <c r="O404" i="2"/>
  <c r="P404" i="2" s="1"/>
  <c r="O403" i="2"/>
  <c r="P403" i="2" s="1"/>
  <c r="O402" i="2"/>
  <c r="P402" i="2" s="1"/>
  <c r="O401" i="2"/>
  <c r="P401" i="2" s="1"/>
  <c r="O400" i="2"/>
  <c r="P400" i="2" s="1"/>
  <c r="O399" i="2"/>
  <c r="P399" i="2" s="1"/>
  <c r="O398" i="2"/>
  <c r="P398" i="2" s="1"/>
  <c r="O397" i="2"/>
  <c r="P397" i="2" s="1"/>
  <c r="P396" i="2"/>
  <c r="O396" i="2"/>
  <c r="O395" i="2"/>
  <c r="P395" i="2" s="1"/>
  <c r="O394" i="2"/>
  <c r="P394" i="2" s="1"/>
  <c r="O393" i="2"/>
  <c r="P393" i="2" s="1"/>
  <c r="O392" i="2"/>
  <c r="P392" i="2" s="1"/>
  <c r="O391" i="2"/>
  <c r="P391" i="2" s="1"/>
  <c r="O390" i="2"/>
  <c r="P390" i="2" s="1"/>
  <c r="O389" i="2"/>
  <c r="P389" i="2" s="1"/>
  <c r="P388" i="2"/>
  <c r="O388" i="2"/>
  <c r="O387" i="2"/>
  <c r="P387" i="2" s="1"/>
  <c r="O386" i="2"/>
  <c r="P386" i="2" s="1"/>
  <c r="O385" i="2"/>
  <c r="P385" i="2" s="1"/>
  <c r="O384" i="2"/>
  <c r="P384" i="2" s="1"/>
  <c r="O383" i="2"/>
  <c r="P383" i="2" s="1"/>
  <c r="O382" i="2"/>
  <c r="P382" i="2" s="1"/>
  <c r="O381" i="2"/>
  <c r="P381" i="2" s="1"/>
  <c r="O380" i="2"/>
  <c r="P380" i="2" s="1"/>
  <c r="O379" i="2"/>
  <c r="P379" i="2" s="1"/>
  <c r="O378" i="2"/>
  <c r="P378" i="2" s="1"/>
  <c r="O377" i="2"/>
  <c r="P377" i="2" s="1"/>
  <c r="O376" i="2"/>
  <c r="P376" i="2" s="1"/>
  <c r="O375" i="2"/>
  <c r="P375" i="2" s="1"/>
  <c r="O374" i="2"/>
  <c r="P374" i="2" s="1"/>
  <c r="O373" i="2"/>
  <c r="P373" i="2" s="1"/>
  <c r="O372" i="2"/>
  <c r="P372" i="2" s="1"/>
  <c r="O371" i="2"/>
  <c r="P371" i="2" s="1"/>
  <c r="O370" i="2"/>
  <c r="P370" i="2" s="1"/>
  <c r="P369" i="2"/>
  <c r="O369" i="2"/>
  <c r="O368" i="2"/>
  <c r="P368" i="2" s="1"/>
  <c r="O367" i="2"/>
  <c r="P367" i="2" s="1"/>
  <c r="O366" i="2"/>
  <c r="P366" i="2" s="1"/>
  <c r="O365" i="2"/>
  <c r="P365" i="2" s="1"/>
  <c r="O364" i="2"/>
  <c r="P364" i="2" s="1"/>
  <c r="O363" i="2"/>
  <c r="P363" i="2" s="1"/>
  <c r="O362" i="2"/>
  <c r="P362" i="2" s="1"/>
  <c r="O361" i="2"/>
  <c r="P361" i="2" s="1"/>
  <c r="O360" i="2"/>
  <c r="P360" i="2" s="1"/>
  <c r="O359" i="2"/>
  <c r="P359" i="2" s="1"/>
  <c r="O358" i="2"/>
  <c r="P358" i="2" s="1"/>
  <c r="O357" i="2"/>
  <c r="P357" i="2" s="1"/>
  <c r="O356" i="2"/>
  <c r="P356" i="2" s="1"/>
  <c r="O355" i="2"/>
  <c r="P355" i="2" s="1"/>
  <c r="O354" i="2"/>
  <c r="P354" i="2" s="1"/>
  <c r="O353" i="2"/>
  <c r="P353" i="2" s="1"/>
  <c r="O352" i="2"/>
  <c r="P352" i="2" s="1"/>
  <c r="O351" i="2"/>
  <c r="P351" i="2" s="1"/>
  <c r="O350" i="2"/>
  <c r="P350" i="2" s="1"/>
  <c r="O349" i="2"/>
  <c r="P349" i="2" s="1"/>
  <c r="O348" i="2"/>
  <c r="P348" i="2" s="1"/>
  <c r="O347" i="2"/>
  <c r="P347" i="2" s="1"/>
  <c r="O346" i="2"/>
  <c r="P346" i="2" s="1"/>
  <c r="O345" i="2"/>
  <c r="P345" i="2" s="1"/>
  <c r="O344" i="2"/>
  <c r="P344" i="2" s="1"/>
  <c r="O343" i="2"/>
  <c r="P343" i="2" s="1"/>
  <c r="O342" i="2"/>
  <c r="P342" i="2" s="1"/>
  <c r="P341" i="2"/>
  <c r="O341" i="2"/>
  <c r="O340" i="2"/>
  <c r="P340" i="2" s="1"/>
  <c r="O339" i="2"/>
  <c r="P339" i="2" s="1"/>
  <c r="O338" i="2"/>
  <c r="P338" i="2" s="1"/>
  <c r="O337" i="2"/>
  <c r="P337" i="2" s="1"/>
  <c r="O336" i="2"/>
  <c r="P336" i="2" s="1"/>
  <c r="O335" i="2"/>
  <c r="P335" i="2" s="1"/>
  <c r="O334" i="2"/>
  <c r="P334" i="2" s="1"/>
  <c r="O333" i="2"/>
  <c r="P333" i="2" s="1"/>
  <c r="O332" i="2"/>
  <c r="P332" i="2" s="1"/>
  <c r="O331" i="2"/>
  <c r="P331" i="2" s="1"/>
  <c r="O330" i="2"/>
  <c r="P330" i="2" s="1"/>
  <c r="O329" i="2"/>
  <c r="P329" i="2" s="1"/>
  <c r="O328" i="2"/>
  <c r="P328" i="2" s="1"/>
  <c r="O327" i="2"/>
  <c r="P327" i="2" s="1"/>
  <c r="O326" i="2"/>
  <c r="P326" i="2" s="1"/>
  <c r="O325" i="2"/>
  <c r="P325" i="2" s="1"/>
  <c r="O324" i="2"/>
  <c r="P324" i="2" s="1"/>
  <c r="P323" i="2"/>
  <c r="O323" i="2"/>
  <c r="O322" i="2"/>
  <c r="P322" i="2" s="1"/>
  <c r="O321" i="2"/>
  <c r="P321" i="2" s="1"/>
  <c r="O320" i="2"/>
  <c r="P320" i="2" s="1"/>
  <c r="O319" i="2"/>
  <c r="P319" i="2" s="1"/>
  <c r="O318" i="2"/>
  <c r="P318" i="2" s="1"/>
  <c r="O317" i="2"/>
  <c r="P317" i="2" s="1"/>
  <c r="O316" i="2"/>
  <c r="P316" i="2" s="1"/>
  <c r="P315" i="2"/>
  <c r="O315" i="2"/>
  <c r="O314" i="2"/>
  <c r="P314" i="2" s="1"/>
  <c r="O313" i="2"/>
  <c r="P313" i="2" s="1"/>
  <c r="O312" i="2"/>
  <c r="P312" i="2" s="1"/>
  <c r="O311" i="2"/>
  <c r="P311" i="2" s="1"/>
  <c r="O310" i="2"/>
  <c r="P310" i="2" s="1"/>
  <c r="O309" i="2"/>
  <c r="P309" i="2" s="1"/>
  <c r="O308" i="2"/>
  <c r="P308" i="2" s="1"/>
  <c r="O307" i="2"/>
  <c r="P307" i="2" s="1"/>
  <c r="O306" i="2"/>
  <c r="P306" i="2" s="1"/>
  <c r="O305" i="2"/>
  <c r="P305" i="2" s="1"/>
  <c r="O304" i="2"/>
  <c r="P304" i="2" s="1"/>
  <c r="P303" i="2"/>
  <c r="O303" i="2"/>
  <c r="O302" i="2"/>
  <c r="P302" i="2" s="1"/>
  <c r="O301" i="2"/>
  <c r="P301" i="2" s="1"/>
  <c r="O300" i="2"/>
  <c r="P300" i="2" s="1"/>
  <c r="O299" i="2"/>
  <c r="P299" i="2" s="1"/>
  <c r="O298" i="2"/>
  <c r="P298" i="2" s="1"/>
  <c r="O297" i="2"/>
  <c r="P297" i="2" s="1"/>
  <c r="O296" i="2"/>
  <c r="P296" i="2" s="1"/>
  <c r="P295" i="2"/>
  <c r="O295" i="2"/>
  <c r="O294" i="2"/>
  <c r="P294" i="2" s="1"/>
  <c r="O293" i="2"/>
  <c r="P293" i="2" s="1"/>
  <c r="O292" i="2"/>
  <c r="P292" i="2" s="1"/>
  <c r="O291" i="2"/>
  <c r="P291" i="2" s="1"/>
  <c r="O290" i="2"/>
  <c r="P290" i="2" s="1"/>
  <c r="O289" i="2"/>
  <c r="P289" i="2" s="1"/>
  <c r="O288" i="2"/>
  <c r="P288" i="2" s="1"/>
  <c r="O287" i="2"/>
  <c r="P287" i="2" s="1"/>
  <c r="O286" i="2"/>
  <c r="P286" i="2" s="1"/>
  <c r="O285" i="2"/>
  <c r="P285" i="2" s="1"/>
  <c r="O284" i="2"/>
  <c r="P284" i="2" s="1"/>
  <c r="P283" i="2"/>
  <c r="O283" i="2"/>
  <c r="O282" i="2"/>
  <c r="P282" i="2" s="1"/>
  <c r="O281" i="2"/>
  <c r="P281" i="2" s="1"/>
  <c r="O280" i="2"/>
  <c r="P280" i="2" s="1"/>
  <c r="O279" i="2"/>
  <c r="P279" i="2" s="1"/>
  <c r="O278" i="2"/>
  <c r="P278" i="2" s="1"/>
  <c r="P277" i="2"/>
  <c r="O277" i="2"/>
  <c r="O276" i="2"/>
  <c r="P276" i="2" s="1"/>
  <c r="O275" i="2"/>
  <c r="P275" i="2" s="1"/>
  <c r="O274" i="2"/>
  <c r="P274" i="2" s="1"/>
  <c r="O273" i="2"/>
  <c r="P273" i="2" s="1"/>
  <c r="O272" i="2"/>
  <c r="P272" i="2" s="1"/>
  <c r="O271" i="2"/>
  <c r="P271" i="2" s="1"/>
  <c r="O270" i="2"/>
  <c r="P270" i="2" s="1"/>
  <c r="P269" i="2"/>
  <c r="O269" i="2"/>
  <c r="O268" i="2"/>
  <c r="P268" i="2" s="1"/>
  <c r="O267" i="2"/>
  <c r="P267" i="2" s="1"/>
  <c r="O266" i="2"/>
  <c r="P266" i="2" s="1"/>
  <c r="O265" i="2"/>
  <c r="P265" i="2" s="1"/>
  <c r="O264" i="2"/>
  <c r="P264" i="2" s="1"/>
  <c r="O263" i="2"/>
  <c r="P263" i="2" s="1"/>
  <c r="O262" i="2"/>
  <c r="P262" i="2" s="1"/>
  <c r="O261" i="2"/>
  <c r="P261" i="2" s="1"/>
  <c r="O260" i="2"/>
  <c r="P260" i="2" s="1"/>
  <c r="O259" i="2"/>
  <c r="P259" i="2" s="1"/>
  <c r="P258" i="2"/>
  <c r="O258" i="2"/>
  <c r="P257" i="2"/>
  <c r="O257" i="2"/>
  <c r="O256" i="2"/>
  <c r="P256" i="2" s="1"/>
  <c r="O255" i="2"/>
  <c r="P255" i="2" s="1"/>
  <c r="O254" i="2"/>
  <c r="P254" i="2" s="1"/>
  <c r="O253" i="2"/>
  <c r="P253" i="2" s="1"/>
  <c r="O252" i="2"/>
  <c r="P252" i="2" s="1"/>
  <c r="P251" i="2"/>
  <c r="O251" i="2"/>
  <c r="O250" i="2"/>
  <c r="P250" i="2" s="1"/>
  <c r="O249" i="2"/>
  <c r="P249" i="2" s="1"/>
  <c r="O248" i="2"/>
  <c r="P248" i="2" s="1"/>
  <c r="O247" i="2"/>
  <c r="P247" i="2" s="1"/>
  <c r="O246" i="2"/>
  <c r="P246" i="2" s="1"/>
  <c r="O245" i="2"/>
  <c r="P245" i="2" s="1"/>
  <c r="O244" i="2"/>
  <c r="P244" i="2" s="1"/>
  <c r="O243" i="2"/>
  <c r="P243" i="2" s="1"/>
  <c r="O242" i="2"/>
  <c r="P242" i="2" s="1"/>
  <c r="O241" i="2"/>
  <c r="P241" i="2" s="1"/>
  <c r="O240" i="2"/>
  <c r="P240" i="2" s="1"/>
  <c r="O239" i="2"/>
  <c r="P239" i="2" s="1"/>
  <c r="P238" i="2"/>
  <c r="O238" i="2"/>
  <c r="O237" i="2"/>
  <c r="P237" i="2" s="1"/>
  <c r="O236" i="2"/>
  <c r="P236" i="2" s="1"/>
  <c r="O235" i="2"/>
  <c r="P235" i="2" s="1"/>
  <c r="O234" i="2"/>
  <c r="P234" i="2" s="1"/>
  <c r="O233" i="2"/>
  <c r="P233" i="2" s="1"/>
  <c r="O232" i="2"/>
  <c r="P232" i="2" s="1"/>
  <c r="P231" i="2"/>
  <c r="O231" i="2"/>
  <c r="O230" i="2"/>
  <c r="P230" i="2" s="1"/>
  <c r="O229" i="2"/>
  <c r="P229" i="2" s="1"/>
  <c r="O228" i="2"/>
  <c r="P228" i="2" s="1"/>
  <c r="O227" i="2"/>
  <c r="P227" i="2" s="1"/>
  <c r="O226" i="2"/>
  <c r="P226" i="2" s="1"/>
  <c r="O225" i="2"/>
  <c r="P225" i="2" s="1"/>
  <c r="O224" i="2"/>
  <c r="P224" i="2" s="1"/>
  <c r="O223" i="2"/>
  <c r="P223" i="2" s="1"/>
  <c r="O222" i="2"/>
  <c r="P222" i="2" s="1"/>
  <c r="O221" i="2"/>
  <c r="P221" i="2" s="1"/>
  <c r="P220" i="2"/>
  <c r="O220" i="2"/>
  <c r="O219" i="2"/>
  <c r="P219" i="2" s="1"/>
  <c r="O218" i="2"/>
  <c r="P218" i="2" s="1"/>
  <c r="O217" i="2"/>
  <c r="P217" i="2" s="1"/>
  <c r="O216" i="2"/>
  <c r="P216" i="2" s="1"/>
  <c r="O215" i="2"/>
  <c r="P215" i="2" s="1"/>
  <c r="O214" i="2"/>
  <c r="P214" i="2" s="1"/>
  <c r="O213" i="2"/>
  <c r="P213" i="2" s="1"/>
  <c r="O212" i="2"/>
  <c r="P212" i="2" s="1"/>
  <c r="O211" i="2"/>
  <c r="P211" i="2" s="1"/>
  <c r="O210" i="2"/>
  <c r="P210" i="2" s="1"/>
  <c r="O209" i="2"/>
  <c r="P209" i="2" s="1"/>
  <c r="O208" i="2"/>
  <c r="P208" i="2" s="1"/>
  <c r="O207" i="2"/>
  <c r="P207" i="2" s="1"/>
  <c r="O206" i="2"/>
  <c r="P206" i="2" s="1"/>
  <c r="O205" i="2"/>
  <c r="P205" i="2" s="1"/>
  <c r="P204" i="2"/>
  <c r="O204" i="2"/>
  <c r="O203" i="2"/>
  <c r="P203" i="2" s="1"/>
  <c r="O202" i="2"/>
  <c r="P202" i="2" s="1"/>
  <c r="O201" i="2"/>
  <c r="P201" i="2" s="1"/>
  <c r="O200" i="2"/>
  <c r="P200" i="2" s="1"/>
  <c r="O199" i="2"/>
  <c r="P199" i="2" s="1"/>
  <c r="O198" i="2"/>
  <c r="P198" i="2" s="1"/>
  <c r="O197" i="2"/>
  <c r="P197" i="2" s="1"/>
  <c r="O196" i="2"/>
  <c r="P196" i="2" s="1"/>
  <c r="O195" i="2"/>
  <c r="P195" i="2" s="1"/>
  <c r="P194" i="2"/>
  <c r="O194" i="2"/>
  <c r="O193" i="2"/>
  <c r="P193" i="2" s="1"/>
  <c r="O192" i="2"/>
  <c r="P192" i="2" s="1"/>
  <c r="O191" i="2"/>
  <c r="P191" i="2" s="1"/>
  <c r="O190" i="2"/>
  <c r="P190" i="2" s="1"/>
  <c r="O189" i="2"/>
  <c r="P189" i="2" s="1"/>
  <c r="P188" i="2"/>
  <c r="O188" i="2"/>
  <c r="O187" i="2"/>
  <c r="P187" i="2" s="1"/>
  <c r="O186" i="2"/>
  <c r="P186" i="2" s="1"/>
  <c r="O185" i="2"/>
  <c r="P185" i="2" s="1"/>
  <c r="O184" i="2"/>
  <c r="P184" i="2" s="1"/>
  <c r="O183" i="2"/>
  <c r="P183" i="2" s="1"/>
  <c r="O182" i="2"/>
  <c r="P182" i="2" s="1"/>
  <c r="O181" i="2"/>
  <c r="P181" i="2" s="1"/>
  <c r="P180" i="2"/>
  <c r="O180" i="2"/>
  <c r="O179" i="2"/>
  <c r="P179" i="2" s="1"/>
  <c r="O178" i="2"/>
  <c r="P178" i="2" s="1"/>
  <c r="O177" i="2"/>
  <c r="P177" i="2" s="1"/>
  <c r="O176" i="2"/>
  <c r="P176" i="2" s="1"/>
  <c r="O175" i="2"/>
  <c r="P175" i="2" s="1"/>
  <c r="O174" i="2"/>
  <c r="P174" i="2" s="1"/>
  <c r="O173" i="2"/>
  <c r="P173" i="2" s="1"/>
  <c r="O172" i="2"/>
  <c r="P172" i="2" s="1"/>
  <c r="O171" i="2"/>
  <c r="P171" i="2" s="1"/>
  <c r="O170" i="2"/>
  <c r="P170" i="2" s="1"/>
  <c r="O169" i="2"/>
  <c r="P169" i="2" s="1"/>
  <c r="O168" i="2"/>
  <c r="P168" i="2" s="1"/>
  <c r="O167" i="2"/>
  <c r="P167" i="2" s="1"/>
  <c r="O166" i="2"/>
  <c r="P166" i="2" s="1"/>
  <c r="O165" i="2"/>
  <c r="P165" i="2" s="1"/>
  <c r="O164" i="2"/>
  <c r="P164" i="2" s="1"/>
  <c r="O163" i="2"/>
  <c r="P163" i="2" s="1"/>
  <c r="P162" i="2"/>
  <c r="O162" i="2"/>
  <c r="O161" i="2"/>
  <c r="P161" i="2" s="1"/>
  <c r="O160" i="2"/>
  <c r="P160" i="2" s="1"/>
  <c r="O159" i="2"/>
  <c r="P159" i="2" s="1"/>
  <c r="O158" i="2"/>
  <c r="P158" i="2" s="1"/>
  <c r="O157" i="2"/>
  <c r="P157" i="2" s="1"/>
  <c r="O156" i="2"/>
  <c r="P156" i="2" s="1"/>
  <c r="O155" i="2"/>
  <c r="P155" i="2" s="1"/>
  <c r="O154" i="2"/>
  <c r="P154" i="2" s="1"/>
  <c r="P153" i="2"/>
  <c r="O153" i="2"/>
  <c r="O152" i="2"/>
  <c r="P152" i="2" s="1"/>
  <c r="O151" i="2"/>
  <c r="P151" i="2" s="1"/>
  <c r="O150" i="2"/>
  <c r="P150" i="2" s="1"/>
  <c r="O149" i="2"/>
  <c r="P149" i="2" s="1"/>
  <c r="O148" i="2"/>
  <c r="P148" i="2" s="1"/>
  <c r="O147" i="2"/>
  <c r="P147" i="2" s="1"/>
  <c r="O146" i="2"/>
  <c r="P146" i="2" s="1"/>
  <c r="P145" i="2"/>
  <c r="O145" i="2"/>
  <c r="P144" i="2"/>
  <c r="O144" i="2"/>
  <c r="O143" i="2"/>
  <c r="P143" i="2" s="1"/>
  <c r="O142" i="2"/>
  <c r="P142" i="2" s="1"/>
  <c r="O141" i="2"/>
  <c r="P141" i="2" s="1"/>
  <c r="O140" i="2"/>
  <c r="P140" i="2" s="1"/>
  <c r="P139" i="2"/>
  <c r="O139" i="2"/>
  <c r="P138" i="2"/>
  <c r="O138" i="2"/>
  <c r="O137" i="2"/>
  <c r="P137" i="2" s="1"/>
  <c r="O136" i="2"/>
  <c r="P136" i="2" s="1"/>
  <c r="O135" i="2"/>
  <c r="P135" i="2" s="1"/>
  <c r="O134" i="2"/>
  <c r="P134" i="2" s="1"/>
  <c r="O133" i="2"/>
  <c r="P133" i="2" s="1"/>
  <c r="O132" i="2"/>
  <c r="P132" i="2" s="1"/>
  <c r="O131" i="2"/>
  <c r="P131" i="2" s="1"/>
  <c r="O130" i="2"/>
  <c r="P130" i="2" s="1"/>
  <c r="O129" i="2"/>
  <c r="P129" i="2" s="1"/>
  <c r="O128" i="2"/>
  <c r="P128" i="2" s="1"/>
  <c r="O127" i="2"/>
  <c r="P127" i="2" s="1"/>
  <c r="O126" i="2"/>
  <c r="P126" i="2" s="1"/>
  <c r="O125" i="2"/>
  <c r="P125" i="2" s="1"/>
  <c r="O124" i="2"/>
  <c r="P124" i="2" s="1"/>
  <c r="O123" i="2"/>
  <c r="P123" i="2" s="1"/>
  <c r="P122" i="2"/>
  <c r="O122" i="2"/>
  <c r="O121" i="2"/>
  <c r="P121" i="2" s="1"/>
  <c r="O120" i="2"/>
  <c r="P120" i="2" s="1"/>
  <c r="O119" i="2"/>
  <c r="P119" i="2" s="1"/>
  <c r="O118" i="2"/>
  <c r="P118" i="2" s="1"/>
  <c r="O117" i="2"/>
  <c r="P117" i="2" s="1"/>
  <c r="O116" i="2"/>
  <c r="P116" i="2" s="1"/>
  <c r="O115" i="2"/>
  <c r="P115" i="2" s="1"/>
  <c r="P114" i="2"/>
  <c r="O114" i="2"/>
  <c r="O113" i="2"/>
  <c r="P113" i="2" s="1"/>
  <c r="O112" i="2"/>
  <c r="P112" i="2" s="1"/>
  <c r="O111" i="2"/>
  <c r="P111" i="2" s="1"/>
  <c r="O110" i="2"/>
  <c r="P110" i="2" s="1"/>
  <c r="O109" i="2"/>
  <c r="P109" i="2" s="1"/>
  <c r="O108" i="2"/>
  <c r="P108" i="2" s="1"/>
  <c r="O107" i="2"/>
  <c r="P107" i="2" s="1"/>
  <c r="O106" i="2"/>
  <c r="P106" i="2" s="1"/>
  <c r="O105" i="2"/>
  <c r="P105" i="2" s="1"/>
  <c r="O104" i="2"/>
  <c r="P104" i="2" s="1"/>
  <c r="P103" i="2"/>
  <c r="O103" i="2"/>
  <c r="O102" i="2"/>
  <c r="P102" i="2" s="1"/>
  <c r="O101" i="2"/>
  <c r="P101" i="2" s="1"/>
  <c r="O100" i="2"/>
  <c r="P100" i="2" s="1"/>
  <c r="O99" i="2"/>
  <c r="P99" i="2" s="1"/>
  <c r="O98" i="2"/>
  <c r="P98" i="2" s="1"/>
  <c r="P97" i="2"/>
  <c r="O97" i="2"/>
  <c r="P96" i="2"/>
  <c r="O96" i="2"/>
  <c r="O95" i="2"/>
  <c r="P95" i="2" s="1"/>
  <c r="O94" i="2"/>
  <c r="P94" i="2" s="1"/>
  <c r="O93" i="2"/>
  <c r="P93" i="2" s="1"/>
  <c r="O92" i="2"/>
  <c r="P92" i="2" s="1"/>
  <c r="O91" i="2"/>
  <c r="P91" i="2" s="1"/>
  <c r="O90" i="2"/>
  <c r="P90" i="2" s="1"/>
  <c r="O89" i="2"/>
  <c r="P89" i="2" s="1"/>
  <c r="O88" i="2"/>
  <c r="P88" i="2" s="1"/>
  <c r="O87" i="2"/>
  <c r="P87" i="2" s="1"/>
  <c r="O86" i="2"/>
  <c r="P86" i="2" s="1"/>
  <c r="O85" i="2"/>
  <c r="P85" i="2" s="1"/>
  <c r="O84" i="2"/>
  <c r="P84" i="2" s="1"/>
  <c r="O83" i="2"/>
  <c r="P83" i="2" s="1"/>
  <c r="O82" i="2"/>
  <c r="P82" i="2" s="1"/>
  <c r="O81" i="2"/>
  <c r="P81" i="2" s="1"/>
  <c r="O80" i="2"/>
  <c r="P80" i="2" s="1"/>
  <c r="P79" i="2"/>
  <c r="O79" i="2"/>
  <c r="P78" i="2"/>
  <c r="O78" i="2"/>
  <c r="O77" i="2"/>
  <c r="P77" i="2" s="1"/>
  <c r="O76" i="2"/>
  <c r="P76" i="2" s="1"/>
  <c r="O75" i="2"/>
  <c r="P75" i="2" s="1"/>
  <c r="O74" i="2"/>
  <c r="P74" i="2" s="1"/>
  <c r="O73" i="2"/>
  <c r="P73" i="2" s="1"/>
  <c r="P72" i="2"/>
  <c r="O72" i="2"/>
  <c r="O71" i="2"/>
  <c r="P71" i="2" s="1"/>
  <c r="P70" i="2"/>
  <c r="O70" i="2"/>
  <c r="O69" i="2"/>
  <c r="P69" i="2" s="1"/>
  <c r="O68" i="2"/>
  <c r="P68" i="2" s="1"/>
  <c r="O67" i="2"/>
  <c r="P67" i="2" s="1"/>
  <c r="O66" i="2"/>
  <c r="P66" i="2" s="1"/>
  <c r="O65" i="2"/>
  <c r="P65" i="2" s="1"/>
  <c r="O64" i="2"/>
  <c r="P64" i="2" s="1"/>
  <c r="O63" i="2"/>
  <c r="P63" i="2" s="1"/>
  <c r="O62" i="2"/>
  <c r="P62" i="2" s="1"/>
  <c r="O61" i="2"/>
  <c r="P61" i="2" s="1"/>
  <c r="O60" i="2"/>
  <c r="P60" i="2" s="1"/>
  <c r="O59" i="2"/>
  <c r="P59" i="2" s="1"/>
  <c r="O58" i="2"/>
  <c r="P58" i="2" s="1"/>
  <c r="O57" i="2"/>
  <c r="P57" i="2" s="1"/>
  <c r="O56" i="2"/>
  <c r="P56" i="2" s="1"/>
  <c r="O55" i="2"/>
  <c r="P55" i="2" s="1"/>
  <c r="O54" i="2"/>
  <c r="P54" i="2" s="1"/>
  <c r="O53" i="2"/>
  <c r="P53" i="2" s="1"/>
  <c r="O52" i="2"/>
  <c r="P52" i="2" s="1"/>
  <c r="O51" i="2"/>
  <c r="P51" i="2" s="1"/>
  <c r="O50" i="2"/>
  <c r="P50" i="2" s="1"/>
  <c r="P49" i="2"/>
  <c r="O49" i="2"/>
  <c r="P48" i="2"/>
  <c r="O48" i="2"/>
  <c r="O47" i="2"/>
  <c r="P47" i="2" s="1"/>
  <c r="O46" i="2"/>
  <c r="P46" i="2" s="1"/>
  <c r="O45" i="2"/>
  <c r="P45" i="2" s="1"/>
  <c r="O44" i="2"/>
  <c r="P44" i="2" s="1"/>
  <c r="O43" i="2"/>
  <c r="P43" i="2" s="1"/>
  <c r="O42" i="2"/>
  <c r="P42" i="2" s="1"/>
  <c r="O41" i="2"/>
  <c r="P41" i="2" s="1"/>
  <c r="O40" i="2"/>
  <c r="P40" i="2" s="1"/>
  <c r="O39" i="2"/>
  <c r="P39" i="2" s="1"/>
  <c r="O38" i="2"/>
  <c r="P38" i="2" s="1"/>
  <c r="O37" i="2"/>
  <c r="P37" i="2" s="1"/>
  <c r="O36" i="2"/>
  <c r="P36" i="2" s="1"/>
  <c r="O35" i="2"/>
  <c r="P35" i="2" s="1"/>
  <c r="O34" i="2"/>
  <c r="P34" i="2" s="1"/>
  <c r="O33" i="2"/>
  <c r="P33" i="2" s="1"/>
  <c r="O32" i="2"/>
  <c r="P32" i="2" s="1"/>
  <c r="P31" i="2"/>
  <c r="O31" i="2"/>
  <c r="O30" i="2"/>
  <c r="P30" i="2" s="1"/>
  <c r="O29" i="2"/>
  <c r="P29" i="2" s="1"/>
  <c r="O28" i="2"/>
  <c r="P28" i="2" s="1"/>
  <c r="O27" i="2"/>
  <c r="P27" i="2" s="1"/>
  <c r="O26" i="2"/>
  <c r="P26" i="2" s="1"/>
  <c r="O25" i="2"/>
  <c r="P25" i="2" s="1"/>
  <c r="O24" i="2"/>
  <c r="P24" i="2" s="1"/>
  <c r="O23" i="2"/>
  <c r="P23" i="2" s="1"/>
  <c r="P22" i="2"/>
  <c r="O22" i="2"/>
  <c r="O21" i="2"/>
  <c r="P21" i="2" s="1"/>
  <c r="O20" i="2"/>
  <c r="P20" i="2" s="1"/>
  <c r="O19" i="2"/>
  <c r="P19" i="2" s="1"/>
  <c r="O18" i="2"/>
  <c r="P18" i="2" s="1"/>
  <c r="O17" i="2"/>
  <c r="P17" i="2" s="1"/>
  <c r="O16" i="2"/>
  <c r="P16" i="2" s="1"/>
  <c r="O15" i="2"/>
  <c r="P15" i="2" s="1"/>
  <c r="O14" i="2"/>
  <c r="P14" i="2" s="1"/>
  <c r="P13" i="2"/>
  <c r="O13" i="2"/>
  <c r="P12" i="2"/>
  <c r="O12" i="2"/>
  <c r="O11" i="2"/>
  <c r="P11" i="2" s="1"/>
  <c r="O10" i="2"/>
  <c r="P10" i="2" s="1"/>
  <c r="O9" i="2"/>
  <c r="P9" i="2" s="1"/>
  <c r="O8" i="2"/>
  <c r="P8" i="2" s="1"/>
  <c r="P7" i="2"/>
  <c r="O7" i="2"/>
  <c r="P6" i="2"/>
  <c r="O6" i="2"/>
  <c r="O5" i="2"/>
  <c r="P5" i="2" s="1"/>
  <c r="P4" i="2"/>
  <c r="O4" i="2"/>
  <c r="C5" i="1"/>
  <c r="A5" i="1"/>
  <c r="H25" i="4" l="1"/>
  <c r="G25" i="4"/>
  <c r="H20" i="4"/>
  <c r="G62" i="4"/>
  <c r="G63" i="4"/>
  <c r="H85" i="4"/>
  <c r="G85" i="4"/>
  <c r="D11" i="10"/>
  <c r="G66" i="4"/>
  <c r="C11" i="1"/>
  <c r="G39" i="4"/>
  <c r="J23" i="3"/>
  <c r="J22" i="3"/>
  <c r="G11" i="4"/>
  <c r="H10" i="4"/>
  <c r="H80" i="4"/>
  <c r="G80" i="4"/>
  <c r="H58" i="4"/>
  <c r="G59" i="4"/>
  <c r="G104" i="4"/>
  <c r="H7" i="4"/>
  <c r="G44" i="4"/>
  <c r="G9" i="8"/>
  <c r="I21" i="8"/>
  <c r="I27" i="8"/>
  <c r="H71" i="4"/>
  <c r="J9" i="3"/>
  <c r="C16" i="10"/>
  <c r="D14" i="10" s="1"/>
  <c r="G8" i="4"/>
  <c r="H82" i="4"/>
  <c r="H91" i="4"/>
  <c r="J10" i="3"/>
  <c r="H17" i="4"/>
  <c r="H56" i="4"/>
  <c r="H73" i="4"/>
  <c r="H18" i="8"/>
  <c r="I9" i="3"/>
  <c r="H8" i="4"/>
  <c r="H60" i="4"/>
  <c r="J18" i="3"/>
  <c r="D15" i="10"/>
  <c r="C10" i="1"/>
  <c r="J11" i="3"/>
  <c r="I12" i="3"/>
  <c r="G6" i="8"/>
  <c r="G8" i="8"/>
  <c r="G15" i="8"/>
  <c r="H20" i="8"/>
  <c r="H40" i="4"/>
  <c r="H7" i="8"/>
  <c r="H9" i="8"/>
  <c r="G11" i="8"/>
  <c r="I7" i="8"/>
  <c r="J15" i="3"/>
  <c r="F92" i="4"/>
  <c r="J13" i="3"/>
  <c r="J17" i="3"/>
  <c r="I21" i="3"/>
  <c r="H88" i="4"/>
  <c r="G5" i="6"/>
  <c r="I14" i="8"/>
  <c r="F18" i="4"/>
  <c r="I7" i="3"/>
  <c r="F107" i="4"/>
  <c r="G7" i="5"/>
  <c r="H6" i="5"/>
  <c r="I5" i="3"/>
  <c r="F5" i="3"/>
  <c r="G5" i="3" s="1"/>
  <c r="H47" i="4"/>
  <c r="G48" i="4"/>
  <c r="I16" i="8"/>
  <c r="G16" i="8"/>
  <c r="H89" i="4"/>
  <c r="H90" i="4"/>
  <c r="G90" i="4"/>
  <c r="G89" i="4"/>
  <c r="F89" i="4"/>
  <c r="I24" i="8"/>
  <c r="G24" i="8"/>
  <c r="F30" i="4"/>
  <c r="H24" i="8"/>
  <c r="H5" i="4"/>
  <c r="G5" i="4"/>
  <c r="G6" i="4"/>
  <c r="H21" i="4"/>
  <c r="G19" i="8"/>
  <c r="I19" i="8"/>
  <c r="H19" i="8"/>
  <c r="I20" i="8"/>
  <c r="H8" i="3"/>
  <c r="E19" i="3"/>
  <c r="F19" i="3" s="1"/>
  <c r="G19" i="3" s="1"/>
  <c r="H95" i="4"/>
  <c r="G96" i="4"/>
  <c r="H5" i="8"/>
  <c r="I6" i="8"/>
  <c r="G5" i="8"/>
  <c r="J12" i="3"/>
  <c r="H6" i="4"/>
  <c r="F40" i="4"/>
  <c r="G50" i="4"/>
  <c r="H50" i="4"/>
  <c r="G49" i="4"/>
  <c r="H49" i="4"/>
  <c r="F78" i="4"/>
  <c r="F95" i="4"/>
  <c r="H5" i="3"/>
  <c r="D28" i="3"/>
  <c r="F56" i="4"/>
  <c r="H34" i="4"/>
  <c r="G35" i="4"/>
  <c r="F4" i="4"/>
  <c r="H52" i="4"/>
  <c r="G53" i="4"/>
  <c r="H21" i="8"/>
  <c r="G21" i="8"/>
  <c r="F52" i="4"/>
  <c r="E5" i="3"/>
  <c r="F73" i="4"/>
  <c r="H16" i="8"/>
  <c r="G19" i="4"/>
  <c r="H18" i="4"/>
  <c r="H19" i="4"/>
  <c r="H7" i="3"/>
  <c r="I8" i="3"/>
  <c r="H79" i="4"/>
  <c r="H78" i="4"/>
  <c r="G79" i="4"/>
  <c r="G78" i="4"/>
  <c r="G38" i="4"/>
  <c r="H38" i="4"/>
  <c r="F66" i="4"/>
  <c r="H10" i="5"/>
  <c r="G10" i="5"/>
  <c r="H6" i="3"/>
  <c r="J16" i="3"/>
  <c r="I13" i="3"/>
  <c r="G37" i="4"/>
  <c r="H41" i="4"/>
  <c r="H42" i="4"/>
  <c r="G42" i="4"/>
  <c r="G41" i="4"/>
  <c r="H96" i="4"/>
  <c r="G97" i="4"/>
  <c r="G9" i="5"/>
  <c r="I6" i="3"/>
  <c r="E27" i="3"/>
  <c r="E24" i="3"/>
  <c r="F24" i="3" s="1"/>
  <c r="G24" i="3" s="1"/>
  <c r="E21" i="3"/>
  <c r="F21" i="3" s="1"/>
  <c r="G21" i="3" s="1"/>
  <c r="E18" i="3"/>
  <c r="F18" i="3" s="1"/>
  <c r="G18" i="3" s="1"/>
  <c r="E15" i="3"/>
  <c r="F15" i="3" s="1"/>
  <c r="G15" i="3" s="1"/>
  <c r="E12" i="3"/>
  <c r="F12" i="3" s="1"/>
  <c r="G12" i="3" s="1"/>
  <c r="E9" i="3"/>
  <c r="F9" i="3" s="1"/>
  <c r="G9" i="3" s="1"/>
  <c r="E6" i="3"/>
  <c r="E23" i="3"/>
  <c r="E11" i="3"/>
  <c r="F11" i="3" s="1"/>
  <c r="G11" i="3" s="1"/>
  <c r="E4" i="3"/>
  <c r="F4" i="3" s="1"/>
  <c r="E7" i="3"/>
  <c r="F7" i="3" s="1"/>
  <c r="G7" i="3" s="1"/>
  <c r="D5" i="7"/>
  <c r="E5" i="7" s="1"/>
  <c r="F5" i="7" s="1"/>
  <c r="E26" i="3"/>
  <c r="F26" i="3" s="1"/>
  <c r="G26" i="3" s="1"/>
  <c r="D4" i="7"/>
  <c r="E10" i="3"/>
  <c r="F10" i="3" s="1"/>
  <c r="G10" i="3" s="1"/>
  <c r="E8" i="3"/>
  <c r="F8" i="3" s="1"/>
  <c r="G8" i="3" s="1"/>
  <c r="E14" i="3"/>
  <c r="F14" i="3" s="1"/>
  <c r="G14" i="3" s="1"/>
  <c r="E16" i="3"/>
  <c r="F16" i="3" s="1"/>
  <c r="G16" i="3" s="1"/>
  <c r="E25" i="3"/>
  <c r="F25" i="3" s="1"/>
  <c r="E20" i="3"/>
  <c r="F20" i="3" s="1"/>
  <c r="G20" i="3" s="1"/>
  <c r="E22" i="3"/>
  <c r="F22" i="3" s="1"/>
  <c r="E13" i="3"/>
  <c r="F13" i="3" s="1"/>
  <c r="G13" i="3" s="1"/>
  <c r="I17" i="3"/>
  <c r="I18" i="3"/>
  <c r="H18" i="3"/>
  <c r="H37" i="4"/>
  <c r="F41" i="4"/>
  <c r="F88" i="4"/>
  <c r="H9" i="5"/>
  <c r="H22" i="3"/>
  <c r="H31" i="4"/>
  <c r="H30" i="4"/>
  <c r="G31" i="4"/>
  <c r="G30" i="4"/>
  <c r="H4" i="8"/>
  <c r="F28" i="8"/>
  <c r="H12" i="3"/>
  <c r="H11" i="3"/>
  <c r="I11" i="3"/>
  <c r="G21" i="4"/>
  <c r="G22" i="4"/>
  <c r="F104" i="4"/>
  <c r="I15" i="3"/>
  <c r="H16" i="3"/>
  <c r="G100" i="4"/>
  <c r="G99" i="4"/>
  <c r="H99" i="4"/>
  <c r="F5" i="4"/>
  <c r="F98" i="4"/>
  <c r="F86" i="4"/>
  <c r="F74" i="4"/>
  <c r="F62" i="4"/>
  <c r="F50" i="4"/>
  <c r="F38" i="4"/>
  <c r="F26" i="4"/>
  <c r="F14" i="4"/>
  <c r="E11" i="5"/>
  <c r="F11" i="5" s="1"/>
  <c r="E9" i="5"/>
  <c r="F9" i="5" s="1"/>
  <c r="E7" i="5"/>
  <c r="F7" i="5" s="1"/>
  <c r="E5" i="5"/>
  <c r="F5" i="5" s="1"/>
  <c r="F105" i="4"/>
  <c r="F93" i="4"/>
  <c r="F81" i="4"/>
  <c r="F69" i="4"/>
  <c r="F57" i="4"/>
  <c r="F45" i="4"/>
  <c r="F33" i="4"/>
  <c r="F21" i="4"/>
  <c r="F9" i="4"/>
  <c r="E4" i="6"/>
  <c r="F4" i="6" s="1"/>
  <c r="E10" i="5"/>
  <c r="F10" i="5" s="1"/>
  <c r="E8" i="5"/>
  <c r="F8" i="5" s="1"/>
  <c r="E6" i="5"/>
  <c r="F6" i="5" s="1"/>
  <c r="F99" i="4"/>
  <c r="F87" i="4"/>
  <c r="F75" i="4"/>
  <c r="F63" i="4"/>
  <c r="F51" i="4"/>
  <c r="F39" i="4"/>
  <c r="F27" i="4"/>
  <c r="F15" i="4"/>
  <c r="E6" i="6"/>
  <c r="F6" i="6" s="1"/>
  <c r="F85" i="4"/>
  <c r="F71" i="4"/>
  <c r="F68" i="4"/>
  <c r="F37" i="4"/>
  <c r="F23" i="4"/>
  <c r="F20" i="4"/>
  <c r="E5" i="6"/>
  <c r="F5" i="6" s="1"/>
  <c r="F90" i="4"/>
  <c r="F70" i="4"/>
  <c r="F42" i="4"/>
  <c r="F22" i="4"/>
  <c r="F8" i="4"/>
  <c r="F101" i="4"/>
  <c r="F84" i="4"/>
  <c r="F67" i="4"/>
  <c r="F64" i="4"/>
  <c r="F53" i="4"/>
  <c r="F36" i="4"/>
  <c r="F19" i="4"/>
  <c r="F16" i="4"/>
  <c r="E4" i="5"/>
  <c r="F4" i="5" s="1"/>
  <c r="F58" i="4"/>
  <c r="F7" i="4"/>
  <c r="F106" i="4"/>
  <c r="F55" i="4"/>
  <c r="F48" i="4"/>
  <c r="F32" i="4"/>
  <c r="F29" i="4"/>
  <c r="F103" i="4"/>
  <c r="F96" i="4"/>
  <c r="F80" i="4"/>
  <c r="F77" i="4"/>
  <c r="F83" i="4"/>
  <c r="F60" i="4"/>
  <c r="F47" i="4"/>
  <c r="F44" i="4"/>
  <c r="F28" i="4"/>
  <c r="F25" i="4"/>
  <c r="F6" i="4"/>
  <c r="F76" i="4"/>
  <c r="F13" i="4"/>
  <c r="F102" i="4"/>
  <c r="F94" i="4"/>
  <c r="F91" i="4"/>
  <c r="F17" i="4"/>
  <c r="F10" i="4"/>
  <c r="G5" i="1"/>
  <c r="F65" i="4"/>
  <c r="F35" i="4"/>
  <c r="E7" i="6"/>
  <c r="F7" i="6" s="1"/>
  <c r="F61" i="4"/>
  <c r="F46" i="4"/>
  <c r="F43" i="4"/>
  <c r="F24" i="4"/>
  <c r="E5" i="1"/>
  <c r="F79" i="4"/>
  <c r="F12" i="4"/>
  <c r="F100" i="4"/>
  <c r="F49" i="4"/>
  <c r="F54" i="4"/>
  <c r="F31" i="4"/>
  <c r="F97" i="4"/>
  <c r="F72" i="4"/>
  <c r="F82" i="4"/>
  <c r="F108" i="4"/>
  <c r="F34" i="4"/>
  <c r="C28" i="3"/>
  <c r="J5" i="3"/>
  <c r="J8" i="3"/>
  <c r="J7" i="3"/>
  <c r="E17" i="3"/>
  <c r="F17" i="3" s="1"/>
  <c r="G17" i="3" s="1"/>
  <c r="H25" i="3"/>
  <c r="F27" i="3"/>
  <c r="G27" i="3" s="1"/>
  <c r="F11" i="4"/>
  <c r="G16" i="4"/>
  <c r="G15" i="4"/>
  <c r="H15" i="4"/>
  <c r="F59" i="4"/>
  <c r="G64" i="4"/>
  <c r="H63" i="4"/>
  <c r="H86" i="4"/>
  <c r="G86" i="4"/>
  <c r="H53" i="4"/>
  <c r="G54" i="4"/>
  <c r="H23" i="4"/>
  <c r="G23" i="4"/>
  <c r="G12" i="8"/>
  <c r="I12" i="8"/>
  <c r="I22" i="8"/>
  <c r="H22" i="8"/>
  <c r="G22" i="8"/>
  <c r="H21" i="3"/>
  <c r="I25" i="3"/>
  <c r="I26" i="3"/>
  <c r="H16" i="4"/>
  <c r="G55" i="4"/>
  <c r="H54" i="4"/>
  <c r="G76" i="4"/>
  <c r="H75" i="4"/>
  <c r="H101" i="4"/>
  <c r="G102" i="4"/>
  <c r="D5" i="10"/>
  <c r="D7" i="10"/>
  <c r="D9" i="10"/>
  <c r="D4" i="10"/>
  <c r="D6" i="10"/>
  <c r="I27" i="3"/>
  <c r="H27" i="3"/>
  <c r="H83" i="4"/>
  <c r="G84" i="4"/>
  <c r="G44" i="10"/>
  <c r="J20" i="3"/>
  <c r="J21" i="3"/>
  <c r="G28" i="4"/>
  <c r="H27" i="4"/>
  <c r="G47" i="4"/>
  <c r="G105" i="4"/>
  <c r="G106" i="4"/>
  <c r="H106" i="4"/>
  <c r="H105" i="4"/>
  <c r="I14" i="3"/>
  <c r="H15" i="3"/>
  <c r="G27" i="4"/>
  <c r="H72" i="4"/>
  <c r="G83" i="4"/>
  <c r="G95" i="4"/>
  <c r="H97" i="4"/>
  <c r="H103" i="4"/>
  <c r="G103" i="4"/>
  <c r="I16" i="3"/>
  <c r="G72" i="4"/>
  <c r="F6" i="3"/>
  <c r="G6" i="3" s="1"/>
  <c r="H9" i="3"/>
  <c r="I10" i="3"/>
  <c r="H20" i="3"/>
  <c r="H24" i="3"/>
  <c r="I23" i="3"/>
  <c r="G25" i="3"/>
  <c r="G7" i="4"/>
  <c r="H14" i="4"/>
  <c r="H13" i="4"/>
  <c r="G24" i="4"/>
  <c r="H46" i="4"/>
  <c r="G69" i="4"/>
  <c r="G70" i="4"/>
  <c r="H70" i="4"/>
  <c r="H76" i="4"/>
  <c r="G77" i="4"/>
  <c r="I20" i="3"/>
  <c r="F23" i="3"/>
  <c r="G23" i="3" s="1"/>
  <c r="G17" i="4"/>
  <c r="H24" i="4"/>
  <c r="H28" i="4"/>
  <c r="G29" i="4"/>
  <c r="H55" i="4"/>
  <c r="G67" i="4"/>
  <c r="H67" i="4"/>
  <c r="H69" i="4"/>
  <c r="H84" i="4"/>
  <c r="H94" i="4"/>
  <c r="H102" i="4"/>
  <c r="G6" i="5"/>
  <c r="H13" i="3"/>
  <c r="G13" i="4"/>
  <c r="H35" i="4"/>
  <c r="G36" i="4"/>
  <c r="G57" i="4"/>
  <c r="G58" i="4"/>
  <c r="E28" i="8"/>
  <c r="G4" i="8"/>
  <c r="J27" i="3"/>
  <c r="H48" i="4"/>
  <c r="G52" i="4"/>
  <c r="G51" i="4"/>
  <c r="H64" i="4"/>
  <c r="G18" i="8"/>
  <c r="D8" i="10"/>
  <c r="G93" i="4"/>
  <c r="G94" i="4"/>
  <c r="G8" i="5"/>
  <c r="H7" i="5"/>
  <c r="G7" i="6"/>
  <c r="I23" i="8"/>
  <c r="G23" i="8"/>
  <c r="I22" i="3"/>
  <c r="G22" i="3"/>
  <c r="G45" i="4"/>
  <c r="G46" i="4"/>
  <c r="H62" i="4"/>
  <c r="H61" i="4"/>
  <c r="H65" i="4"/>
  <c r="H93" i="4"/>
  <c r="H100" i="4"/>
  <c r="G101" i="4"/>
  <c r="I5" i="8"/>
  <c r="H11" i="8"/>
  <c r="I18" i="8"/>
  <c r="I19" i="3"/>
  <c r="G33" i="4"/>
  <c r="G34" i="4"/>
  <c r="G81" i="4"/>
  <c r="G82" i="4"/>
  <c r="H5" i="6"/>
  <c r="G6" i="6"/>
  <c r="C28" i="8"/>
  <c r="I10" i="8"/>
  <c r="H12" i="8"/>
  <c r="G25" i="8"/>
  <c r="I25" i="8"/>
  <c r="G42" i="10"/>
  <c r="H11" i="4"/>
  <c r="H33" i="4"/>
  <c r="G40" i="4"/>
  <c r="H59" i="4"/>
  <c r="H81" i="4"/>
  <c r="G88" i="4"/>
  <c r="H107" i="4"/>
  <c r="C6" i="7"/>
  <c r="D28" i="8"/>
  <c r="H6" i="8"/>
  <c r="G43" i="10"/>
  <c r="G13" i="8"/>
  <c r="I13" i="8"/>
  <c r="I17" i="8"/>
  <c r="H23" i="8"/>
  <c r="G10" i="4"/>
  <c r="H29" i="4"/>
  <c r="H77" i="4"/>
  <c r="H5" i="7"/>
  <c r="G5" i="7"/>
  <c r="I5" i="1" s="1"/>
  <c r="I26" i="8"/>
  <c r="D10" i="10"/>
  <c r="G47" i="10"/>
  <c r="E30" i="8"/>
  <c r="G27" i="8"/>
  <c r="F30" i="8"/>
  <c r="H30" i="8" s="1"/>
  <c r="G26" i="8"/>
  <c r="F48" i="10"/>
  <c r="G45" i="10" s="1"/>
  <c r="D12" i="10" l="1"/>
  <c r="D16" i="10" s="1"/>
  <c r="D13" i="10"/>
  <c r="G28" i="8"/>
  <c r="F28" i="3"/>
  <c r="G28" i="3" s="1"/>
  <c r="G4" i="3"/>
  <c r="D6" i="7"/>
  <c r="E4" i="7"/>
  <c r="G46" i="10"/>
  <c r="E28" i="3"/>
  <c r="G41" i="10"/>
  <c r="E4" i="10"/>
  <c r="G30" i="8"/>
  <c r="H28" i="8"/>
  <c r="E5" i="10" l="1"/>
  <c r="F4" i="10"/>
  <c r="G4" i="10" s="1"/>
  <c r="F4" i="7"/>
  <c r="E6" i="7"/>
  <c r="F6" i="7" s="1"/>
  <c r="G48" i="10"/>
  <c r="I41" i="10"/>
  <c r="I42" i="10" s="1"/>
  <c r="H41" i="10"/>
  <c r="I43" i="10" l="1"/>
  <c r="H42" i="10"/>
  <c r="E6" i="10"/>
  <c r="F5" i="10"/>
  <c r="G5" i="10" s="1"/>
  <c r="E7" i="10" l="1"/>
  <c r="F6" i="10"/>
  <c r="G6" i="10" s="1"/>
  <c r="I44" i="10"/>
  <c r="H43" i="10"/>
  <c r="H44" i="10" l="1"/>
  <c r="I45" i="10"/>
  <c r="F7" i="10"/>
  <c r="G7" i="10" s="1"/>
  <c r="E8" i="10"/>
  <c r="E9" i="10" l="1"/>
  <c r="F8" i="10"/>
  <c r="G8" i="10" s="1"/>
  <c r="I46" i="10"/>
  <c r="H45" i="10"/>
  <c r="I47" i="10" l="1"/>
  <c r="H47" i="10" s="1"/>
  <c r="H46" i="10"/>
  <c r="F9" i="10"/>
  <c r="G9" i="10" s="1"/>
  <c r="E10" i="10"/>
  <c r="E11" i="10" l="1"/>
  <c r="F10" i="10"/>
  <c r="G10" i="10" s="1"/>
  <c r="E12" i="10" l="1"/>
  <c r="F11" i="10"/>
  <c r="G11" i="10" s="1"/>
  <c r="F12" i="10" l="1"/>
  <c r="G12" i="10" s="1"/>
  <c r="E13" i="10"/>
  <c r="E14" i="10" l="1"/>
  <c r="F13" i="10"/>
  <c r="G13" i="10" s="1"/>
  <c r="F14" i="10" l="1"/>
  <c r="G14" i="10" s="1"/>
  <c r="E15" i="10"/>
  <c r="F15" i="10" s="1"/>
  <c r="G15" i="10" s="1"/>
</calcChain>
</file>

<file path=xl/sharedStrings.xml><?xml version="1.0" encoding="utf-8"?>
<sst xmlns="http://schemas.openxmlformats.org/spreadsheetml/2006/main" count="3849" uniqueCount="215">
  <si>
    <t>PUROY SALON — OPERATIONAL &amp; FINANCIAL DASHBOARD (JAN 2024 – DEC 2025)</t>
  </si>
  <si>
    <t>Overview of revenue, sessions, expenses, and net income across the 2-year model. Navigate using the sheet tabs for detailed daily/weekly/monthly/quarterly/biannual/annual breakdowns, MoM &amp; YoY comparisons, AM/PM demand, ABC analysis, and inventory tracking.</t>
  </si>
  <si>
    <t>Total Revenue (2024-2025)</t>
  </si>
  <si>
    <t>Total Sessions</t>
  </si>
  <si>
    <t>Total Net Income</t>
  </si>
  <si>
    <t>Average Net Margin</t>
  </si>
  <si>
    <t>2025 vs 2024 Revenue Growth (YoY)</t>
  </si>
  <si>
    <t>SEASONAL PEAK &amp; LOW PERIODS</t>
  </si>
  <si>
    <t>Period Type</t>
  </si>
  <si>
    <t>Months</t>
  </si>
  <si>
    <t>Avg Monthly Revenue (₱)</t>
  </si>
  <si>
    <t>Characteristics</t>
  </si>
  <si>
    <t>🟢 PEAK</t>
  </si>
  <si>
    <t>December, March-May</t>
  </si>
  <si>
    <t>Holiday season (Dec) and summer/vacation season (Mar-May) drive highest demand for long-duration chemical services and walk-ins.</t>
  </si>
  <si>
    <t>🔴 LOW</t>
  </si>
  <si>
    <t>June-September</t>
  </si>
  <si>
    <t>Rainy season reduces walk-in traffic; clients defer non-essential salon visits.</t>
  </si>
  <si>
    <t>⚪ NORMAL</t>
  </si>
  <si>
    <t>January, February, October, November</t>
  </si>
  <si>
    <t>Baseline demand; January reflects a post-holiday spending dip.</t>
  </si>
  <si>
    <t>PUROY SALON — DAILY OPERATIONS DATA (JAN 1, 2024 – DEC 31, 2025)</t>
  </si>
  <si>
    <t>Source: Nov 2024-Apr 2025 monthly totals &amp; Jan 1-May 29, 2025 daily records (actual). Remaining periods are model-generated using day-of-week traffic patterns, seasonal demand (peaks: December holidays &amp; summer Mar-May; lows: rainy season Jun-Sep), and year-on-year growth assumptions.</t>
  </si>
  <si>
    <t>Rebond, Cello, Haircut</t>
  </si>
  <si>
    <t>Rebond, Cello + Brazilian Collagen</t>
  </si>
  <si>
    <t>Protein Straightening Treatment</t>
  </si>
  <si>
    <t>Brazilian Collagen / Hair Botox</t>
  </si>
  <si>
    <t>Hair Color / Cellophane Treatment</t>
  </si>
  <si>
    <t>Cold Wave Perm</t>
  </si>
  <si>
    <t>Keratin Opti Straight</t>
  </si>
  <si>
    <t>Haircut</t>
  </si>
  <si>
    <t>Kilay (Eyebrow)</t>
  </si>
  <si>
    <t>Manicure</t>
  </si>
  <si>
    <t>Pedicure</t>
  </si>
  <si>
    <t>Foot Spa</t>
  </si>
  <si>
    <t>Date</t>
  </si>
  <si>
    <t>Day</t>
  </si>
  <si>
    <t>Day Type</t>
  </si>
  <si>
    <t>Sessions</t>
  </si>
  <si>
    <t>AM Sessions</t>
  </si>
  <si>
    <t>PM Sessions</t>
  </si>
  <si>
    <t>Revenue (₱)</t>
  </si>
  <si>
    <t>AM Revenue (₱)</t>
  </si>
  <si>
    <t>PM Revenue (₱)</t>
  </si>
  <si>
    <t>Electricity (₱)</t>
  </si>
  <si>
    <t>Water (₱)</t>
  </si>
  <si>
    <t>Salary (₱)</t>
  </si>
  <si>
    <t>Commission (₱)</t>
  </si>
  <si>
    <t>Supplies (₱)</t>
  </si>
  <si>
    <t>Total Expenses (₱)</t>
  </si>
  <si>
    <t>Net Income (₱)</t>
  </si>
  <si>
    <t>Top Service</t>
  </si>
  <si>
    <t>Monday</t>
  </si>
  <si>
    <t>Weekday</t>
  </si>
  <si>
    <t>CLOSED</t>
  </si>
  <si>
    <t>Low (Post-Holiday)</t>
  </si>
  <si>
    <t>Tuesday</t>
  </si>
  <si>
    <t>Wednesday</t>
  </si>
  <si>
    <t>Thursday</t>
  </si>
  <si>
    <t>Friday</t>
  </si>
  <si>
    <t>Saturday</t>
  </si>
  <si>
    <t>Weekend</t>
  </si>
  <si>
    <t>Sunday</t>
  </si>
  <si>
    <t>Normal</t>
  </si>
  <si>
    <t>Peak (Summer)</t>
  </si>
  <si>
    <t>Low (Rainy)</t>
  </si>
  <si>
    <t>Peak (Holiday)</t>
  </si>
  <si>
    <t>MONTHLY TRENDS &amp; MONTH-ON-MONTH (MoM) COMPARISON</t>
  </si>
  <si>
    <t>Arrows/colors compare each month vs. the prior month. 🟢 ▲ green = increase, 🔴 ▼ red = decrease. Peak/Low months are tagged per seasonal pattern (Dec/Mar-May = peak; Jun-Sep = low).</t>
  </si>
  <si>
    <t>Month</t>
  </si>
  <si>
    <t>Year</t>
  </si>
  <si>
    <t>Net Margin %</t>
  </si>
  <si>
    <t>Revenue MoM %</t>
  </si>
  <si>
    <t>Revenue MoM Trend</t>
  </si>
  <si>
    <t>Sessions MoM %</t>
  </si>
  <si>
    <t>January</t>
  </si>
  <si>
    <t>n/a</t>
  </si>
  <si>
    <t>—</t>
  </si>
  <si>
    <t>February</t>
  </si>
  <si>
    <t>March</t>
  </si>
  <si>
    <t>Peak</t>
  </si>
  <si>
    <t>April</t>
  </si>
  <si>
    <t>May</t>
  </si>
  <si>
    <t>June</t>
  </si>
  <si>
    <t>Low</t>
  </si>
  <si>
    <t>July</t>
  </si>
  <si>
    <t>August</t>
  </si>
  <si>
    <t>September</t>
  </si>
  <si>
    <t>October</t>
  </si>
  <si>
    <t>November</t>
  </si>
  <si>
    <t>December</t>
  </si>
  <si>
    <t>TOTAL / AVERAGE</t>
  </si>
  <si>
    <t>WEEKLY TRENDS (ISO WEEKS, JAN 2024 – DEC 2025)</t>
  </si>
  <si>
    <t>Each row = one calendar week (Mon-Sun). Trend column compares revenue vs. prior week. 🟢▲=increase, 🔴▼=decrease.</t>
  </si>
  <si>
    <t>Week #</t>
  </si>
  <si>
    <t>Week Start</t>
  </si>
  <si>
    <t>Week End</t>
  </si>
  <si>
    <t>Revenue WoW %</t>
  </si>
  <si>
    <t>Trend</t>
  </si>
  <si>
    <t>Tag</t>
  </si>
  <si>
    <t>QUARTERLY TRENDS &amp; QoQ COMPARISON</t>
  </si>
  <si>
    <t>Q1=Jan-Mar (summer start), Q2=Apr-Jun (summer/rainy transition), Q3=Jul-Sep (rainy/low), Q4=Oct-Dec (peak holiday). Trend vs prior quarter.</t>
  </si>
  <si>
    <t>Quarter</t>
  </si>
  <si>
    <t>Revenue QoQ %</t>
  </si>
  <si>
    <t>Q1</t>
  </si>
  <si>
    <t>Q2</t>
  </si>
  <si>
    <t>Q3</t>
  </si>
  <si>
    <t>Q4</t>
  </si>
  <si>
    <t>BIANNUAL (SEMESTER) TRENDS &amp; COMPARISON</t>
  </si>
  <si>
    <t>H1=Jan-Jun, H2=Jul-Dec. H2 typically includes rainy-season low (Jul-Sep) followed by holiday peak (Dec). Trend vs prior semester.</t>
  </si>
  <si>
    <t>Semester</t>
  </si>
  <si>
    <t>Revenue Sem-on-Sem %</t>
  </si>
  <si>
    <t>H1</t>
  </si>
  <si>
    <t>H2</t>
  </si>
  <si>
    <t>ANNUAL TOTALS &amp; YEAR-ON-YEAR (YoY) COMPARISON</t>
  </si>
  <si>
    <t>Compares full-year 2025 performance vs. 2024. Green/▲ = growth, Red/▼ = decline.</t>
  </si>
  <si>
    <t>YoY Revenue Growth %</t>
  </si>
  <si>
    <t>2-YEAR TOTAL</t>
  </si>
  <si>
    <t>AM vs. PM DEMAND COMPARISON &amp; FORECAST</t>
  </si>
  <si>
    <t>AM = morning sessions (8am-12nn), PM = afternoon/evening (12nn-6pm). Long-duration chemical services (rebond, Brazilian collagen, protein, keratin, hair color) skew toward AM because clients plan ahead for multi-hour appointments. Short services (haircut, manicure, pedicure, eyebrow, foot spa) and weekend walk-ins skew toward PM. Forecast columns project the next period using the trailing 4-week average AM/PM share.</t>
  </si>
  <si>
    <t>AM Share %</t>
  </si>
  <si>
    <t>PM Share %</t>
  </si>
  <si>
    <t>Trend (vs prior month)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</si>
  <si>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</si>
  <si>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</si>
  <si>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</si>
  <si>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</si>
  <si>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</si>
  <si>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</si>
  <si>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</si>
  <si>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</si>
  <si>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</si>
  <si>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</si>
  <si>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</si>
  <si>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2-YR AVERAGE</t>
  </si>
  <si>
    <t>FORECAST: JAN 2026</t>
  </si>
  <si>
    <t>Projected (Jan = post-holiday dip, seasonal index 0.80 vs Dec 1.55)</t>
  </si>
  <si>
    <t>CHEMICAL INVENTORY TRACKER — JAN 2024 to DEC 2025 (24 MONTHS)</t>
  </si>
  <si>
    <t>🔴 STOCKOUT = negative closing stock | 🟠 CRITICAL = zero stock | 🟡 LOW = below 40% of buffer | ✅ OK = within buffer | 🔵 OVERSTOCK = up to 2.5x buffer | 🟣 EXCESS = beyond 2.5x buffer, risk of expiry</t>
  </si>
  <si>
    <t>CHEMICAL / PRODUCT</t>
  </si>
  <si>
    <t>UNIT</t>
  </si>
  <si>
    <t>MONTH</t>
  </si>
  <si>
    <t>OPENING STOCK</t>
  </si>
  <si>
    <t>PURCHASED</t>
  </si>
  <si>
    <t>USED</t>
  </si>
  <si>
    <t>CLOSING STOCK</t>
  </si>
  <si>
    <t>STATUS</t>
  </si>
  <si>
    <t>NOTES / ACTION</t>
  </si>
  <si>
    <t>Hair Color (Mixed Shades)</t>
  </si>
  <si>
    <t>tubes</t>
  </si>
  <si>
    <t>JAN '24</t>
  </si>
  <si>
    <t>OVERSTOCK</t>
  </si>
  <si>
    <t>🔵 Sobra ang stock. Bawasan ang order.</t>
  </si>
  <si>
    <t>FEB '24</t>
  </si>
  <si>
    <t>OK</t>
  </si>
  <si>
    <t>✅ Stock level okay.</t>
  </si>
  <si>
    <t>MAR '24</t>
  </si>
  <si>
    <t>APR '24</t>
  </si>
  <si>
    <t>MAY '24</t>
  </si>
  <si>
    <t>JUN '24</t>
  </si>
  <si>
    <t>JUL '24</t>
  </si>
  <si>
    <t>AUG '24</t>
  </si>
  <si>
    <t>SEP '24</t>
  </si>
  <si>
    <t>OCT '24</t>
  </si>
  <si>
    <t>NOV '24</t>
  </si>
  <si>
    <t>LOW</t>
  </si>
  <si>
    <t>🟡 Mababa na ang stock. Mag-reorder soon.</t>
  </si>
  <si>
    <t>DEC '24</t>
  </si>
  <si>
    <t>STOCKOUT</t>
  </si>
  <si>
    <t>⚠ Nagkulang! Hindi naserbisyuhan lahat ng clients.</t>
  </si>
  <si>
    <t>JAN '25</t>
  </si>
  <si>
    <t>FEB '25</t>
  </si>
  <si>
    <t>MAR '25</t>
  </si>
  <si>
    <t>CRITICAL</t>
  </si>
  <si>
    <t>🔴 Ubos na! Mag-order agad.</t>
  </si>
  <si>
    <t>APR '25</t>
  </si>
  <si>
    <t>MAY '25</t>
  </si>
  <si>
    <t>JUN '25</t>
  </si>
  <si>
    <t>JUL '25</t>
  </si>
  <si>
    <t>AUG '25</t>
  </si>
  <si>
    <t>SEP '25</t>
  </si>
  <si>
    <t>OCT '25</t>
  </si>
  <si>
    <t>NOV '25</t>
  </si>
  <si>
    <t>DEC '25</t>
  </si>
  <si>
    <t>Cellophane Treatment</t>
  </si>
  <si>
    <t>sachets</t>
  </si>
  <si>
    <t>Rebonding Cream</t>
  </si>
  <si>
    <t>kits</t>
  </si>
  <si>
    <t>EXCESS</t>
  </si>
  <si>
    <t>🟣 Malabis na stock! Maaaring mag-expire.</t>
  </si>
  <si>
    <t>Neutralizer</t>
  </si>
  <si>
    <t>bottles</t>
  </si>
  <si>
    <t>Keratin Solution</t>
  </si>
  <si>
    <t>Bleaching Powder</t>
  </si>
  <si>
    <t>packs</t>
  </si>
  <si>
    <t>Developer (20vol/30vol)</t>
  </si>
  <si>
    <t>liters</t>
  </si>
  <si>
    <t>ABC ANALYSIS — SERVICES (BY 2-YEAR REVENUE CONTRIBUTION)</t>
  </si>
  <si>
    <t>Pareto-based classification: Class A = top contributors making up ~80% of cumulative revenue (prioritize staffing/chemical stock), Class B = next ~15% (moderate priority), Class C = remaining ~5% (low priority / review necessity).</t>
  </si>
  <si>
    <t>Rank</t>
  </si>
  <si>
    <t>Service</t>
  </si>
  <si>
    <t>2-Yr Revenue (₱)</t>
  </si>
  <si>
    <t>% of Total</t>
  </si>
  <si>
    <t>Cumulative %</t>
  </si>
  <si>
    <t>ABC Class</t>
  </si>
  <si>
    <t>Priority</t>
  </si>
  <si>
    <t>TOTAL</t>
  </si>
  <si>
    <t>ABC ANALYSIS — CHEMICAL INVENTORY (BY 2-YEAR USAGE VALUE)</t>
  </si>
  <si>
    <t>Usage Value = total units consumed over 24 months × estimated unit cost (₱). Class A items represent the highest peso-value consumption and warrant tighter stock control &amp; reorder monitoring.</t>
  </si>
  <si>
    <t>Chemical / Product</t>
  </si>
  <si>
    <t>Unit</t>
  </si>
  <si>
    <t>Est. Unit Cost (₱)</t>
  </si>
  <si>
    <t>Total Used (24mo)</t>
  </si>
  <si>
    <t>Usage Value (₱)</t>
  </si>
  <si>
    <t>Source: Estimated unit costs based on typical Philippine salon-supplier price lists (2025); usage volumes are model-generated from observed Nov2024-Apr2025 consumption rates, scaled with seasonal demand index.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</si>
</sst>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₱#,##0;[Red]&quot;-₱&quot;#,##0"/>
    <numFmt numFmtId="165" formatCode="0.0%;[Red]\(0.0%\)"/>
    <numFmt numFmtId="166" formatCode="mmm\ dd&quot;, &quot;yyyy"/>
    <numFmt numFmtId="167" formatCode="0.0"/>
    <numFmt numFmtId="168" formatCode="0.0%"/>
  </numFmts>
  <fonts count="1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595959"/>
      <name val="Arial"/>
      <charset val="1"/>
    </font>
    <font>
      <b/>
      <sz val="9"/>
      <color rgb="FF305496"/>
      <name val="Arial"/>
      <charset val="1"/>
    </font>
    <font>
      <b/>
      <sz val="14"/>
      <color rgb="FF1F4E78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006100"/>
      <name val="Arial"/>
      <charset val="1"/>
    </font>
    <font>
      <b/>
      <sz val="11"/>
      <color rgb="FF9C0006"/>
      <name val="Arial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  <font>
      <sz val="10"/>
      <color rgb="FF1F4E78"/>
      <name val="Arial"/>
      <charset val="1"/>
    </font>
    <font>
      <sz val="10"/>
      <color rgb="FF006100"/>
      <name val="Arial"/>
      <charset val="1"/>
    </font>
    <font>
      <sz val="10"/>
      <color rgb="FF9C6500"/>
      <name val="Arial"/>
      <charset val="1"/>
    </font>
    <font>
      <b/>
      <sz val="10"/>
      <color rgb="FF9C0006"/>
      <name val="Arial"/>
      <charset val="1"/>
    </font>
    <font>
      <sz val="10"/>
      <color rgb="FF60497A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305496"/>
        <bgColor rgb="FF1F4E78"/>
      </patternFill>
    </fill>
    <fill>
      <patternFill patternType="solid">
        <fgColor rgb="FFD9E1F2"/>
        <bgColor rgb="FFD9D9D9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4472C4"/>
        <bgColor rgb="FF4672A8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FFB066"/>
        <bgColor rgb="FFF8B590"/>
      </patternFill>
    </fill>
    <fill>
      <patternFill patternType="solid">
        <fgColor rgb="FFD9C2E9"/>
        <bgColor rgb="FFD9D9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8" fillId="5" borderId="1" xfId="0" applyFont="1" applyFill="1" applyBorder="1"/>
    <xf numFmtId="166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0" fillId="7" borderId="0" xfId="0" applyFont="1" applyFill="1"/>
    <xf numFmtId="0" fontId="0" fillId="7" borderId="0" xfId="0" applyFill="1"/>
    <xf numFmtId="164" fontId="10" fillId="7" borderId="0" xfId="0" applyNumberFormat="1" applyFont="1" applyFill="1"/>
    <xf numFmtId="165" fontId="10" fillId="7" borderId="0" xfId="0" applyNumberFormat="1" applyFont="1" applyFill="1"/>
    <xf numFmtId="167" fontId="10" fillId="7" borderId="0" xfId="0" applyNumberFormat="1" applyFont="1" applyFill="1"/>
    <xf numFmtId="0" fontId="10" fillId="8" borderId="0" xfId="0" applyFont="1" applyFill="1"/>
    <xf numFmtId="0" fontId="0" fillId="8" borderId="0" xfId="0" applyFill="1"/>
    <xf numFmtId="167" fontId="0" fillId="8" borderId="0" xfId="0" applyNumberFormat="1" applyFill="1"/>
    <xf numFmtId="164" fontId="0" fillId="8" borderId="0" xfId="0" applyNumberFormat="1" applyFill="1"/>
    <xf numFmtId="165" fontId="0" fillId="8" borderId="0" xfId="0" applyNumberFormat="1" applyFill="1"/>
    <xf numFmtId="0" fontId="2" fillId="8" borderId="0" xfId="0" applyFont="1" applyFill="1"/>
    <xf numFmtId="0" fontId="11" fillId="9" borderId="1" xfId="0" applyFont="1" applyFill="1" applyBorder="1"/>
    <xf numFmtId="0" fontId="12" fillId="4" borderId="1" xfId="0" applyFont="1" applyFill="1" applyBorder="1"/>
    <xf numFmtId="0" fontId="13" fillId="10" borderId="1" xfId="0" applyFont="1" applyFill="1" applyBorder="1"/>
    <xf numFmtId="0" fontId="0" fillId="5" borderId="1" xfId="0" applyFill="1" applyBorder="1"/>
    <xf numFmtId="0" fontId="14" fillId="5" borderId="1" xfId="0" applyFont="1" applyFill="1" applyBorder="1"/>
    <xf numFmtId="0" fontId="14" fillId="11" borderId="1" xfId="0" applyFont="1" applyFill="1" applyBorder="1"/>
    <xf numFmtId="0" fontId="15" fillId="12" borderId="1" xfId="0" applyFont="1" applyFill="1" applyBorder="1"/>
    <xf numFmtId="168" fontId="0" fillId="0" borderId="0" xfId="0" applyNumberFormat="1"/>
    <xf numFmtId="168" fontId="10" fillId="7" borderId="0" xfId="0" applyNumberFormat="1" applyFont="1" applyFill="1"/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7" borderId="0" xfId="0" applyFill="1" applyAlignment="1">
      <alignment wrapText="1"/>
    </xf>
    <xf numFmtId="168" fontId="0" fillId="0" borderId="0" xfId="0" applyNumberFormat="1" applyAlignment="1">
      <alignment wrapText="1"/>
    </xf>
    <xf numFmtId="168" fontId="10" fillId="7" borderId="0" xfId="0" applyNumberFormat="1" applyFont="1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8" fontId="0" fillId="0" borderId="0" xfId="0" applyNumberFormat="1" applyAlignment="1">
      <alignment horizontal="left" vertical="center"/>
    </xf>
  </cellXfs>
  <cellStyles count="1">
    <cellStyle name="Normal" xfId="0" builtinId="0"/>
  </cellStyles>
  <dxfs count="43"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</dxf>
    <dxf>
      <font>
        <b/>
        <sz val="10"/>
        <color rgb="FF006100"/>
        <name val="Arial"/>
        <charset val="1"/>
      </font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</dxf>
    <dxf>
      <font>
        <b/>
        <sz val="10"/>
        <color rgb="FF006100"/>
        <name val="Arial"/>
        <charset val="1"/>
      </font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</dxf>
    <dxf>
      <font>
        <b/>
        <sz val="10"/>
        <color rgb="FF006100"/>
        <name val="Arial"/>
        <charset val="1"/>
      </font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</dxf>
    <dxf>
      <font>
        <b/>
        <sz val="10"/>
        <color rgb="FF006100"/>
        <name val="Arial"/>
        <charset val="1"/>
      </font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</dxf>
    <dxf>
      <font>
        <b/>
        <sz val="10"/>
        <color rgb="FF006100"/>
        <name val="Arial"/>
        <charset val="1"/>
      </font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ont>
        <b/>
        <sz val="11"/>
        <color rgb="FF9C0006"/>
        <name val="Arial"/>
        <charset val="1"/>
      </font>
    </dxf>
    <dxf>
      <font>
        <b/>
        <sz val="11"/>
        <color rgb="FF006100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E4D6"/>
      <rgbColor rgb="FFFF00FF"/>
      <rgbColor rgb="FF00FFFF"/>
      <rgbColor rgb="FF9C0006"/>
      <rgbColor rgb="FF006100"/>
      <rgbColor rgb="FF000080"/>
      <rgbColor rgb="FF9C6500"/>
      <rgbColor rgb="FF800080"/>
      <rgbColor rgb="FF4A7EBB"/>
      <rgbColor rgb="FFB7B7B7"/>
      <rgbColor rgb="FF878787"/>
      <rgbColor rgb="FF93A9CE"/>
      <rgbColor rgb="FFAB4744"/>
      <rgbColor rgb="FFFFF2CC"/>
      <rgbColor rgb="FFE2EFDA"/>
      <rgbColor rgb="FF660066"/>
      <rgbColor rgb="FFDC853E"/>
      <rgbColor rgb="FF4672A8"/>
      <rgbColor rgb="FFD9C2E9"/>
      <rgbColor rgb="FF000080"/>
      <rgbColor rgb="FFFF00FF"/>
      <rgbColor rgb="FFD9D9D9"/>
      <rgbColor rgb="FF00FFFF"/>
      <rgbColor rgb="FF800080"/>
      <rgbColor rgb="FF800000"/>
      <rgbColor rgb="FF4F81BD"/>
      <rgbColor rgb="FF0000FF"/>
      <rgbColor rgb="FF00CCFF"/>
      <rgbColor rgb="FFD9E1F2"/>
      <rgbColor rgb="FFC6EFCE"/>
      <rgbColor rgb="FFFFEB9C"/>
      <rgbColor rgb="FF92C3D5"/>
      <rgbColor rgb="FFF8B590"/>
      <rgbColor rgb="FFD09493"/>
      <rgbColor rgb="FFFFC7CE"/>
      <rgbColor rgb="FF4472C4"/>
      <rgbColor rgb="FFBDD7EE"/>
      <rgbColor rgb="FF8AA64F"/>
      <rgbColor rgb="FFB8CD97"/>
      <rgbColor rgb="FFFFB066"/>
      <rgbColor rgb="FFFF6600"/>
      <rgbColor rgb="FF725990"/>
      <rgbColor rgb="FFA99BBD"/>
      <rgbColor rgb="FF1F4E78"/>
      <rgbColor rgb="FF4299B0"/>
      <rgbColor rgb="FF003300"/>
      <rgbColor rgb="FF60497A"/>
      <rgbColor rgb="FF993300"/>
      <rgbColor rgb="FFC0504D"/>
      <rgbColor rgb="FF305496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Chemical Usage Value (24-mo, ₱)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'ABC Analysis'!$B$41:$B$47</c:f>
              <c:strCache>
                <c:ptCount val="7"/>
                <c:pt idx="0">
                  <c:v>Hair Color (Mixed Shades)</c:v>
                </c:pt>
                <c:pt idx="1">
                  <c:v>Rebonding Cream</c:v>
                </c:pt>
                <c:pt idx="2">
                  <c:v>Cellophane Treatment</c:v>
                </c:pt>
                <c:pt idx="3">
                  <c:v>Keratin Solution</c:v>
                </c:pt>
                <c:pt idx="4">
                  <c:v>Neutralizer</c:v>
                </c:pt>
                <c:pt idx="5">
                  <c:v>Developer (20vol/30vol)</c:v>
                </c:pt>
                <c:pt idx="6">
                  <c:v>Bleaching Powder</c:v>
                </c:pt>
              </c:strCache>
            </c:strRef>
          </c:cat>
          <c:val>
            <c:numRef>
              <c:f>'ABC Analysis'!$F$41:$F$47</c:f>
              <c:numCache>
                <c:formatCode>\₱#,##0;[Red]"-₱"#,##0</c:formatCode>
                <c:ptCount val="7"/>
                <c:pt idx="0">
                  <c:v>803250</c:v>
                </c:pt>
                <c:pt idx="1">
                  <c:v>424150</c:v>
                </c:pt>
                <c:pt idx="2">
                  <c:v>319920</c:v>
                </c:pt>
                <c:pt idx="3">
                  <c:v>185250</c:v>
                </c:pt>
                <c:pt idx="4">
                  <c:v>80460</c:v>
                </c:pt>
                <c:pt idx="5">
                  <c:v>42880</c:v>
                </c:pt>
                <c:pt idx="6">
                  <c:v>22140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F-48BA-8AC1-A00A1F19D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755785"/>
        <c:axId val="31340882"/>
      </c:barChart>
      <c:catAx>
        <c:axId val="6375578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340882"/>
        <c:crosses val="autoZero"/>
        <c:auto val="1"/>
        <c:lblAlgn val="ctr"/>
        <c:lblOffset val="100"/>
        <c:noMultiLvlLbl val="0"/>
      </c:catAx>
      <c:valAx>
        <c:axId val="313408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₱#,##0;[Red]&quot;-₱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7557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</xdr:row>
      <xdr:rowOff>130680</xdr:rowOff>
    </xdr:from>
    <xdr:to>
      <xdr:col>4</xdr:col>
      <xdr:colOff>1078420</xdr:colOff>
      <xdr:row>68</xdr:row>
      <xdr:rowOff>110880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zoomScaleNormal="100" workbookViewId="0">
      <selection sqref="A1:J1"/>
    </sheetView>
  </sheetViews>
  <sheetFormatPr defaultColWidth="8.6328125" defaultRowHeight="14.5" x14ac:dyDescent="0.35"/>
  <cols>
    <col min="1" max="10" width="12" customWidth="1"/>
  </cols>
  <sheetData>
    <row r="1" spans="1:10" ht="27.75" customHeight="1" x14ac:dyDescent="0.3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7.75" customHeight="1" x14ac:dyDescent="0.3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24" customHeight="1" x14ac:dyDescent="0.35">
      <c r="A4" s="10" t="s">
        <v>2</v>
      </c>
      <c r="B4" s="10"/>
      <c r="C4" s="10" t="s">
        <v>3</v>
      </c>
      <c r="D4" s="10"/>
      <c r="E4" s="10" t="s">
        <v>4</v>
      </c>
      <c r="F4" s="10"/>
      <c r="G4" s="10" t="s">
        <v>5</v>
      </c>
      <c r="H4" s="10"/>
      <c r="I4" s="10" t="s">
        <v>6</v>
      </c>
      <c r="J4" s="10"/>
    </row>
    <row r="5" spans="1:10" ht="24" customHeight="1" x14ac:dyDescent="0.4">
      <c r="A5" s="9">
        <f>SUM('Daily Data'!G4:G734)</f>
        <v>3053476</v>
      </c>
      <c r="B5" s="9"/>
      <c r="C5" s="8">
        <f>SUM('Daily Data'!D4:D734)</f>
        <v>5751</v>
      </c>
      <c r="D5" s="8"/>
      <c r="E5" s="9">
        <f>SUM('Daily Data'!P4:P734)</f>
        <v>2085544</v>
      </c>
      <c r="F5" s="9"/>
      <c r="G5" s="7">
        <f>SUM('Daily Data'!P4:P734)/SUM('Daily Data'!G4:G734)</f>
        <v>0.68300651454277028</v>
      </c>
      <c r="H5" s="7"/>
      <c r="I5" s="7">
        <f>'Annual &amp; YoY'!G5</f>
        <v>-1.6179938798978683E-2</v>
      </c>
      <c r="J5" s="7"/>
    </row>
    <row r="7" spans="1:10" x14ac:dyDescent="0.35">
      <c r="A7" s="6" t="s">
        <v>7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35">
      <c r="A8" s="13" t="s">
        <v>8</v>
      </c>
      <c r="B8" s="13" t="s">
        <v>9</v>
      </c>
      <c r="C8" s="13" t="s">
        <v>10</v>
      </c>
      <c r="D8" s="5" t="s">
        <v>11</v>
      </c>
      <c r="E8" s="5"/>
      <c r="F8" s="5"/>
      <c r="G8" s="5"/>
      <c r="H8" s="5"/>
      <c r="I8" s="5"/>
      <c r="J8" s="5"/>
    </row>
    <row r="9" spans="1:10" ht="31.5" customHeight="1" x14ac:dyDescent="0.35">
      <c r="A9" s="14" t="s">
        <v>12</v>
      </c>
      <c r="B9" s="15" t="s">
        <v>13</v>
      </c>
      <c r="C9" s="16">
        <f>AVERAGEIFS('Monthly Trends'!D4:D27,'Monthly Trends'!K4:K27,"Peak")</f>
        <v>164010.75</v>
      </c>
      <c r="D9" s="4" t="s">
        <v>14</v>
      </c>
      <c r="E9" s="4"/>
      <c r="F9" s="4"/>
      <c r="G9" s="4"/>
      <c r="H9" s="4"/>
      <c r="I9" s="4"/>
      <c r="J9" s="4"/>
    </row>
    <row r="10" spans="1:10" ht="31.5" customHeight="1" x14ac:dyDescent="0.35">
      <c r="A10" s="17" t="s">
        <v>15</v>
      </c>
      <c r="B10" s="15" t="s">
        <v>16</v>
      </c>
      <c r="C10" s="16">
        <f>AVERAGEIFS('Monthly Trends'!D4:D27,'Monthly Trends'!K4:K27,"Low")</f>
        <v>102961.875</v>
      </c>
      <c r="D10" s="4" t="s">
        <v>17</v>
      </c>
      <c r="E10" s="4"/>
      <c r="F10" s="4"/>
      <c r="G10" s="4"/>
      <c r="H10" s="4"/>
      <c r="I10" s="4"/>
      <c r="J10" s="4"/>
    </row>
    <row r="11" spans="1:10" ht="31.5" customHeight="1" x14ac:dyDescent="0.35">
      <c r="A11" s="15" t="s">
        <v>18</v>
      </c>
      <c r="B11" s="15" t="s">
        <v>19</v>
      </c>
      <c r="C11" s="16">
        <f>AVERAGEIFS('Monthly Trends'!D4:D27,'Monthly Trends'!K4:K27,"Normal")</f>
        <v>114711.875</v>
      </c>
      <c r="D11" s="4" t="s">
        <v>20</v>
      </c>
      <c r="E11" s="4"/>
      <c r="F11" s="4"/>
      <c r="G11" s="4"/>
      <c r="H11" s="4"/>
      <c r="I11" s="4"/>
      <c r="J11" s="4"/>
    </row>
  </sheetData>
  <mergeCells count="17">
    <mergeCell ref="A7:J7"/>
    <mergeCell ref="D8:J8"/>
    <mergeCell ref="D9:J9"/>
    <mergeCell ref="D10:J10"/>
    <mergeCell ref="D11:J11"/>
    <mergeCell ref="A5:B5"/>
    <mergeCell ref="C5:D5"/>
    <mergeCell ref="E5:F5"/>
    <mergeCell ref="G5:H5"/>
    <mergeCell ref="I5:J5"/>
    <mergeCell ref="A1:J1"/>
    <mergeCell ref="A2:J2"/>
    <mergeCell ref="A4:B4"/>
    <mergeCell ref="C4:D4"/>
    <mergeCell ref="E4:F4"/>
    <mergeCell ref="G4:H4"/>
    <mergeCell ref="I4:J4"/>
  </mergeCells>
  <conditionalFormatting sqref="I5:J5">
    <cfRule type="cellIs" dxfId="42" priority="2" operator="greaterThanOrEqual">
      <formula>0</formula>
    </cfRule>
    <cfRule type="cellIs" dxfId="41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734"/>
  <sheetViews>
    <sheetView zoomScaleNormal="100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AR14" sqref="AR14"/>
    </sheetView>
  </sheetViews>
  <sheetFormatPr defaultColWidth="8.6328125" defaultRowHeight="14.5" x14ac:dyDescent="0.35"/>
  <cols>
    <col min="1" max="1" width="11.81640625" bestFit="1" customWidth="1"/>
    <col min="2" max="2" width="10.6328125" bestFit="1" customWidth="1"/>
    <col min="3" max="3" width="8.90625" bestFit="1" customWidth="1"/>
    <col min="4" max="4" width="8.6328125" bestFit="1" customWidth="1"/>
    <col min="5" max="6" width="11.90625" bestFit="1" customWidth="1"/>
    <col min="7" max="7" width="11.26953125" bestFit="1" customWidth="1"/>
    <col min="8" max="9" width="14.6328125" bestFit="1" customWidth="1"/>
    <col min="10" max="10" width="12.36328125" bestFit="1" customWidth="1"/>
    <col min="11" max="11" width="8.90625" bestFit="1" customWidth="1"/>
    <col min="12" max="12" width="9.1796875" bestFit="1" customWidth="1"/>
    <col min="13" max="13" width="14.453125" bestFit="1" customWidth="1"/>
    <col min="14" max="14" width="11.1796875" bestFit="1" customWidth="1"/>
    <col min="15" max="15" width="17.26953125" bestFit="1" customWidth="1"/>
    <col min="16" max="16" width="13.54296875" bestFit="1" customWidth="1"/>
    <col min="17" max="17" width="29.90625" bestFit="1" customWidth="1"/>
    <col min="18" max="18" width="17.26953125" bestFit="1" customWidth="1"/>
    <col min="20" max="20" width="8.6328125" bestFit="1" customWidth="1"/>
    <col min="21" max="21" width="11.26953125" bestFit="1" customWidth="1"/>
    <col min="22" max="23" width="14.453125" customWidth="1"/>
    <col min="24" max="25" width="13.08984375" customWidth="1"/>
    <col min="26" max="27" width="13.6328125" customWidth="1"/>
    <col min="28" max="29" width="14.1796875" customWidth="1"/>
    <col min="30" max="30" width="8.6328125" bestFit="1" customWidth="1"/>
    <col min="31" max="31" width="11.26953125" bestFit="1" customWidth="1"/>
    <col min="32" max="32" width="8.6328125" bestFit="1" customWidth="1"/>
    <col min="33" max="33" width="11.26953125" bestFit="1" customWidth="1"/>
    <col min="34" max="34" width="8.6328125" bestFit="1" customWidth="1"/>
    <col min="35" max="35" width="11.26953125" bestFit="1" customWidth="1"/>
    <col min="36" max="36" width="8.6328125" bestFit="1" customWidth="1"/>
    <col min="37" max="37" width="11.26953125" bestFit="1" customWidth="1"/>
    <col min="38" max="38" width="8.6328125" bestFit="1" customWidth="1"/>
    <col min="39" max="39" width="11.26953125" bestFit="1" customWidth="1"/>
    <col min="40" max="40" width="8.6328125" bestFit="1" customWidth="1"/>
    <col min="41" max="41" width="11.26953125" bestFit="1" customWidth="1"/>
    <col min="42" max="42" width="8.6328125" bestFit="1" customWidth="1"/>
    <col min="43" max="43" width="11.26953125" bestFit="1" customWidth="1"/>
  </cols>
  <sheetData>
    <row r="1" spans="1:43" ht="18" x14ac:dyDescent="0.3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43" ht="30" customHeight="1" x14ac:dyDescent="0.35">
      <c r="A2" s="11" t="s">
        <v>22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T2" s="2" t="s">
        <v>23</v>
      </c>
      <c r="U2" s="2"/>
      <c r="V2" s="2" t="s">
        <v>24</v>
      </c>
      <c r="W2" s="2"/>
      <c r="X2" s="2" t="s">
        <v>25</v>
      </c>
      <c r="Y2" s="2"/>
      <c r="Z2" s="2" t="s">
        <v>26</v>
      </c>
      <c r="AA2" s="2"/>
      <c r="AB2" s="2" t="s">
        <v>27</v>
      </c>
      <c r="AC2" s="2"/>
      <c r="AD2" s="2" t="s">
        <v>28</v>
      </c>
      <c r="AE2" s="2"/>
      <c r="AF2" s="2" t="s">
        <v>29</v>
      </c>
      <c r="AG2" s="2"/>
      <c r="AH2" s="2" t="s">
        <v>30</v>
      </c>
      <c r="AI2" s="2"/>
      <c r="AJ2" s="2" t="s">
        <v>31</v>
      </c>
      <c r="AK2" s="2"/>
      <c r="AL2" s="2" t="s">
        <v>32</v>
      </c>
      <c r="AM2" s="2"/>
      <c r="AN2" s="2" t="s">
        <v>33</v>
      </c>
      <c r="AO2" s="2"/>
      <c r="AP2" s="2" t="s">
        <v>34</v>
      </c>
      <c r="AQ2" s="2"/>
    </row>
    <row r="3" spans="1:43" x14ac:dyDescent="0.35">
      <c r="A3" s="13" t="s">
        <v>35</v>
      </c>
      <c r="B3" s="13" t="s">
        <v>36</v>
      </c>
      <c r="C3" s="13" t="s">
        <v>37</v>
      </c>
      <c r="D3" s="13" t="s">
        <v>38</v>
      </c>
      <c r="E3" s="13" t="s">
        <v>39</v>
      </c>
      <c r="F3" s="13" t="s">
        <v>40</v>
      </c>
      <c r="G3" s="13" t="s">
        <v>41</v>
      </c>
      <c r="H3" s="13" t="s">
        <v>42</v>
      </c>
      <c r="I3" s="13" t="s">
        <v>43</v>
      </c>
      <c r="J3" s="13" t="s">
        <v>44</v>
      </c>
      <c r="K3" s="13" t="s">
        <v>45</v>
      </c>
      <c r="L3" s="13" t="s">
        <v>46</v>
      </c>
      <c r="M3" s="13" t="s">
        <v>47</v>
      </c>
      <c r="N3" s="13" t="s">
        <v>48</v>
      </c>
      <c r="O3" s="13" t="s">
        <v>49</v>
      </c>
      <c r="P3" s="13" t="s">
        <v>50</v>
      </c>
      <c r="Q3" s="13" t="s">
        <v>51</v>
      </c>
      <c r="R3" s="13"/>
      <c r="T3" s="13" t="s">
        <v>38</v>
      </c>
      <c r="U3" s="13" t="s">
        <v>41</v>
      </c>
      <c r="V3" s="13" t="s">
        <v>38</v>
      </c>
      <c r="W3" s="13" t="s">
        <v>41</v>
      </c>
      <c r="X3" s="13" t="s">
        <v>38</v>
      </c>
      <c r="Y3" s="13" t="s">
        <v>41</v>
      </c>
      <c r="Z3" s="13" t="s">
        <v>38</v>
      </c>
      <c r="AA3" s="13" t="s">
        <v>41</v>
      </c>
      <c r="AB3" s="13" t="s">
        <v>38</v>
      </c>
      <c r="AC3" s="13" t="s">
        <v>41</v>
      </c>
      <c r="AD3" s="13" t="s">
        <v>38</v>
      </c>
      <c r="AE3" s="13" t="s">
        <v>41</v>
      </c>
      <c r="AF3" s="13" t="s">
        <v>38</v>
      </c>
      <c r="AG3" s="13" t="s">
        <v>41</v>
      </c>
      <c r="AH3" s="13" t="s">
        <v>38</v>
      </c>
      <c r="AI3" s="13" t="s">
        <v>41</v>
      </c>
      <c r="AJ3" s="13" t="s">
        <v>38</v>
      </c>
      <c r="AK3" s="13" t="s">
        <v>41</v>
      </c>
      <c r="AL3" s="13" t="s">
        <v>38</v>
      </c>
      <c r="AM3" s="13" t="s">
        <v>41</v>
      </c>
      <c r="AN3" s="13" t="s">
        <v>38</v>
      </c>
      <c r="AO3" s="13" t="s">
        <v>41</v>
      </c>
      <c r="AP3" s="13" t="s">
        <v>38</v>
      </c>
      <c r="AQ3" s="13" t="s">
        <v>41</v>
      </c>
    </row>
    <row r="4" spans="1:43" x14ac:dyDescent="0.35">
      <c r="A4" s="18">
        <v>45292</v>
      </c>
      <c r="B4" t="s">
        <v>52</v>
      </c>
      <c r="C4" t="s">
        <v>53</v>
      </c>
      <c r="D4">
        <v>0</v>
      </c>
      <c r="E4">
        <v>0</v>
      </c>
      <c r="F4">
        <v>0</v>
      </c>
      <c r="G4" s="19">
        <v>0</v>
      </c>
      <c r="H4" s="19">
        <v>0</v>
      </c>
      <c r="I4" s="19">
        <v>0</v>
      </c>
      <c r="J4" s="19">
        <v>232</v>
      </c>
      <c r="K4" s="19">
        <v>97</v>
      </c>
      <c r="L4" s="19">
        <v>806</v>
      </c>
      <c r="M4" s="19">
        <v>0</v>
      </c>
      <c r="N4" s="19">
        <v>0</v>
      </c>
      <c r="O4" s="19">
        <f t="shared" ref="O4:O67" si="0">SUM(J4:N4)</f>
        <v>1135</v>
      </c>
      <c r="P4" s="19">
        <f t="shared" ref="P4:P67" si="1">G4-O4</f>
        <v>-1135</v>
      </c>
      <c r="Q4" t="s">
        <v>54</v>
      </c>
      <c r="R4" t="s">
        <v>55</v>
      </c>
      <c r="T4">
        <v>0</v>
      </c>
      <c r="U4" s="19">
        <v>0</v>
      </c>
      <c r="V4">
        <v>0</v>
      </c>
      <c r="W4" s="19">
        <v>0</v>
      </c>
      <c r="X4">
        <v>0</v>
      </c>
      <c r="Y4" s="19">
        <v>0</v>
      </c>
      <c r="Z4">
        <v>0</v>
      </c>
      <c r="AA4" s="19">
        <v>0</v>
      </c>
      <c r="AB4">
        <v>0</v>
      </c>
      <c r="AC4" s="19">
        <v>0</v>
      </c>
      <c r="AD4">
        <v>0</v>
      </c>
      <c r="AE4" s="19">
        <v>0</v>
      </c>
      <c r="AF4">
        <v>0</v>
      </c>
      <c r="AG4" s="19">
        <v>0</v>
      </c>
      <c r="AH4">
        <v>0</v>
      </c>
      <c r="AI4" s="19">
        <v>0</v>
      </c>
      <c r="AJ4">
        <v>0</v>
      </c>
      <c r="AK4" s="19">
        <v>0</v>
      </c>
      <c r="AL4">
        <v>0</v>
      </c>
      <c r="AM4" s="19">
        <v>0</v>
      </c>
      <c r="AN4">
        <v>0</v>
      </c>
      <c r="AO4" s="19">
        <v>0</v>
      </c>
      <c r="AP4">
        <v>0</v>
      </c>
      <c r="AQ4" s="19">
        <v>0</v>
      </c>
    </row>
    <row r="5" spans="1:43" x14ac:dyDescent="0.35">
      <c r="A5" s="18">
        <v>45293</v>
      </c>
      <c r="B5" t="s">
        <v>56</v>
      </c>
      <c r="C5" t="s">
        <v>53</v>
      </c>
      <c r="D5">
        <v>6</v>
      </c>
      <c r="E5">
        <v>2</v>
      </c>
      <c r="F5">
        <v>4</v>
      </c>
      <c r="G5" s="19">
        <v>2883</v>
      </c>
      <c r="H5" s="19">
        <v>2228</v>
      </c>
      <c r="I5" s="19">
        <v>655</v>
      </c>
      <c r="J5" s="19">
        <v>232</v>
      </c>
      <c r="K5" s="19">
        <v>97</v>
      </c>
      <c r="L5" s="19">
        <v>806</v>
      </c>
      <c r="M5" s="19">
        <v>64</v>
      </c>
      <c r="N5" s="19">
        <v>49</v>
      </c>
      <c r="O5" s="19">
        <f t="shared" si="0"/>
        <v>1248</v>
      </c>
      <c r="P5" s="19">
        <f t="shared" si="1"/>
        <v>1635</v>
      </c>
      <c r="Q5" t="s">
        <v>23</v>
      </c>
      <c r="R5" t="s">
        <v>55</v>
      </c>
      <c r="T5">
        <v>1</v>
      </c>
      <c r="U5" s="19">
        <v>1442</v>
      </c>
      <c r="V5">
        <v>0</v>
      </c>
      <c r="W5" s="19">
        <v>0</v>
      </c>
      <c r="X5">
        <v>0</v>
      </c>
      <c r="Y5" s="19">
        <v>0</v>
      </c>
      <c r="Z5">
        <v>0</v>
      </c>
      <c r="AA5" s="19">
        <v>0</v>
      </c>
      <c r="AB5">
        <v>1</v>
      </c>
      <c r="AC5" s="19">
        <v>786</v>
      </c>
      <c r="AD5">
        <v>0</v>
      </c>
      <c r="AE5" s="19">
        <v>0</v>
      </c>
      <c r="AF5">
        <v>0</v>
      </c>
      <c r="AG5" s="19">
        <v>0</v>
      </c>
      <c r="AH5">
        <v>1</v>
      </c>
      <c r="AI5" s="19">
        <v>183</v>
      </c>
      <c r="AJ5">
        <v>1</v>
      </c>
      <c r="AK5" s="19">
        <v>92</v>
      </c>
      <c r="AL5">
        <v>1</v>
      </c>
      <c r="AM5" s="19">
        <v>183</v>
      </c>
      <c r="AN5">
        <v>1</v>
      </c>
      <c r="AO5" s="19">
        <v>197</v>
      </c>
      <c r="AP5">
        <v>0</v>
      </c>
      <c r="AQ5" s="19">
        <v>0</v>
      </c>
    </row>
    <row r="6" spans="1:43" x14ac:dyDescent="0.35">
      <c r="A6" s="18">
        <v>45294</v>
      </c>
      <c r="B6" t="s">
        <v>57</v>
      </c>
      <c r="C6" t="s">
        <v>53</v>
      </c>
      <c r="D6">
        <v>6</v>
      </c>
      <c r="E6">
        <v>2</v>
      </c>
      <c r="F6">
        <v>4</v>
      </c>
      <c r="G6" s="19">
        <v>2888</v>
      </c>
      <c r="H6" s="19">
        <v>2232</v>
      </c>
      <c r="I6" s="19">
        <v>656</v>
      </c>
      <c r="J6" s="19">
        <v>232</v>
      </c>
      <c r="K6" s="19">
        <v>97</v>
      </c>
      <c r="L6" s="19">
        <v>806</v>
      </c>
      <c r="M6" s="19">
        <v>64</v>
      </c>
      <c r="N6" s="19">
        <v>49</v>
      </c>
      <c r="O6" s="19">
        <f t="shared" si="0"/>
        <v>1248</v>
      </c>
      <c r="P6" s="19">
        <f t="shared" si="1"/>
        <v>1640</v>
      </c>
      <c r="Q6" t="s">
        <v>23</v>
      </c>
      <c r="R6" t="s">
        <v>55</v>
      </c>
      <c r="T6">
        <v>1</v>
      </c>
      <c r="U6" s="19">
        <v>1444</v>
      </c>
      <c r="V6">
        <v>0</v>
      </c>
      <c r="W6" s="19">
        <v>0</v>
      </c>
      <c r="X6">
        <v>0</v>
      </c>
      <c r="Y6" s="19">
        <v>0</v>
      </c>
      <c r="Z6">
        <v>0</v>
      </c>
      <c r="AA6" s="19">
        <v>0</v>
      </c>
      <c r="AB6">
        <v>1</v>
      </c>
      <c r="AC6" s="19">
        <v>788</v>
      </c>
      <c r="AD6">
        <v>0</v>
      </c>
      <c r="AE6" s="19">
        <v>0</v>
      </c>
      <c r="AF6">
        <v>0</v>
      </c>
      <c r="AG6" s="19">
        <v>0</v>
      </c>
      <c r="AH6">
        <v>1</v>
      </c>
      <c r="AI6" s="19">
        <v>184</v>
      </c>
      <c r="AJ6">
        <v>1</v>
      </c>
      <c r="AK6" s="19">
        <v>92</v>
      </c>
      <c r="AL6">
        <v>1</v>
      </c>
      <c r="AM6" s="19">
        <v>184</v>
      </c>
      <c r="AN6">
        <v>1</v>
      </c>
      <c r="AO6" s="19">
        <v>197</v>
      </c>
      <c r="AP6">
        <v>0</v>
      </c>
      <c r="AQ6" s="19">
        <v>0</v>
      </c>
    </row>
    <row r="7" spans="1:43" x14ac:dyDescent="0.35">
      <c r="A7" s="18">
        <v>45295</v>
      </c>
      <c r="B7" t="s">
        <v>58</v>
      </c>
      <c r="C7" t="s">
        <v>53</v>
      </c>
      <c r="D7">
        <v>6</v>
      </c>
      <c r="E7">
        <v>2</v>
      </c>
      <c r="F7">
        <v>4</v>
      </c>
      <c r="G7" s="19">
        <v>3229</v>
      </c>
      <c r="H7" s="19">
        <v>2495</v>
      </c>
      <c r="I7" s="19">
        <v>734</v>
      </c>
      <c r="J7" s="19">
        <v>232</v>
      </c>
      <c r="K7" s="19">
        <v>97</v>
      </c>
      <c r="L7" s="19">
        <v>806</v>
      </c>
      <c r="M7" s="19">
        <v>71</v>
      </c>
      <c r="N7" s="19">
        <v>49</v>
      </c>
      <c r="O7" s="19">
        <f t="shared" si="0"/>
        <v>1255</v>
      </c>
      <c r="P7" s="19">
        <f t="shared" si="1"/>
        <v>1974</v>
      </c>
      <c r="Q7" t="s">
        <v>23</v>
      </c>
      <c r="R7" t="s">
        <v>55</v>
      </c>
      <c r="T7">
        <v>1</v>
      </c>
      <c r="U7" s="19">
        <v>1614</v>
      </c>
      <c r="V7">
        <v>0</v>
      </c>
      <c r="W7" s="19">
        <v>0</v>
      </c>
      <c r="X7">
        <v>0</v>
      </c>
      <c r="Y7" s="19">
        <v>0</v>
      </c>
      <c r="Z7">
        <v>0</v>
      </c>
      <c r="AA7" s="19">
        <v>0</v>
      </c>
      <c r="AB7">
        <v>1</v>
      </c>
      <c r="AC7" s="19">
        <v>881</v>
      </c>
      <c r="AD7">
        <v>0</v>
      </c>
      <c r="AE7" s="19">
        <v>0</v>
      </c>
      <c r="AF7">
        <v>0</v>
      </c>
      <c r="AG7" s="19">
        <v>0</v>
      </c>
      <c r="AH7">
        <v>1</v>
      </c>
      <c r="AI7" s="19">
        <v>205</v>
      </c>
      <c r="AJ7">
        <v>1</v>
      </c>
      <c r="AK7" s="19">
        <v>103</v>
      </c>
      <c r="AL7">
        <v>1</v>
      </c>
      <c r="AM7" s="19">
        <v>205</v>
      </c>
      <c r="AN7">
        <v>1</v>
      </c>
      <c r="AO7" s="19">
        <v>220</v>
      </c>
      <c r="AP7">
        <v>0</v>
      </c>
      <c r="AQ7" s="19">
        <v>0</v>
      </c>
    </row>
    <row r="8" spans="1:43" x14ac:dyDescent="0.35">
      <c r="A8" s="18">
        <v>45296</v>
      </c>
      <c r="B8" t="s">
        <v>59</v>
      </c>
      <c r="C8" t="s">
        <v>53</v>
      </c>
      <c r="D8">
        <v>6</v>
      </c>
      <c r="E8">
        <v>2</v>
      </c>
      <c r="F8">
        <v>4</v>
      </c>
      <c r="G8" s="19">
        <v>3306</v>
      </c>
      <c r="H8" s="19">
        <v>2555</v>
      </c>
      <c r="I8" s="19">
        <v>751</v>
      </c>
      <c r="J8" s="19">
        <v>232</v>
      </c>
      <c r="K8" s="19">
        <v>97</v>
      </c>
      <c r="L8" s="19">
        <v>806</v>
      </c>
      <c r="M8" s="19">
        <v>73</v>
      </c>
      <c r="N8" s="19">
        <v>49</v>
      </c>
      <c r="O8" s="19">
        <f t="shared" si="0"/>
        <v>1257</v>
      </c>
      <c r="P8" s="19">
        <f t="shared" si="1"/>
        <v>2049</v>
      </c>
      <c r="Q8" t="s">
        <v>23</v>
      </c>
      <c r="R8" t="s">
        <v>55</v>
      </c>
      <c r="T8">
        <v>1</v>
      </c>
      <c r="U8" s="19">
        <v>1653</v>
      </c>
      <c r="V8">
        <v>0</v>
      </c>
      <c r="W8" s="19">
        <v>0</v>
      </c>
      <c r="X8">
        <v>0</v>
      </c>
      <c r="Y8" s="19">
        <v>0</v>
      </c>
      <c r="Z8">
        <v>0</v>
      </c>
      <c r="AA8" s="19">
        <v>0</v>
      </c>
      <c r="AB8">
        <v>1</v>
      </c>
      <c r="AC8" s="19">
        <v>902</v>
      </c>
      <c r="AD8">
        <v>0</v>
      </c>
      <c r="AE8" s="19">
        <v>0</v>
      </c>
      <c r="AF8">
        <v>0</v>
      </c>
      <c r="AG8" s="19">
        <v>0</v>
      </c>
      <c r="AH8">
        <v>1</v>
      </c>
      <c r="AI8" s="19">
        <v>210</v>
      </c>
      <c r="AJ8">
        <v>1</v>
      </c>
      <c r="AK8" s="19">
        <v>105</v>
      </c>
      <c r="AL8">
        <v>1</v>
      </c>
      <c r="AM8" s="19">
        <v>210</v>
      </c>
      <c r="AN8">
        <v>1</v>
      </c>
      <c r="AO8" s="19">
        <v>225</v>
      </c>
      <c r="AP8">
        <v>0</v>
      </c>
      <c r="AQ8" s="19">
        <v>0</v>
      </c>
    </row>
    <row r="9" spans="1:43" x14ac:dyDescent="0.35">
      <c r="A9" s="18">
        <v>45297</v>
      </c>
      <c r="B9" t="s">
        <v>60</v>
      </c>
      <c r="C9" t="s">
        <v>61</v>
      </c>
      <c r="D9">
        <v>7</v>
      </c>
      <c r="E9">
        <v>2</v>
      </c>
      <c r="F9">
        <v>5</v>
      </c>
      <c r="G9" s="19">
        <v>3847</v>
      </c>
      <c r="H9" s="19">
        <v>2669</v>
      </c>
      <c r="I9" s="19">
        <v>1178</v>
      </c>
      <c r="J9" s="19">
        <v>232</v>
      </c>
      <c r="K9" s="19">
        <v>97</v>
      </c>
      <c r="L9" s="19">
        <v>806</v>
      </c>
      <c r="M9" s="19">
        <v>85</v>
      </c>
      <c r="N9" s="19">
        <v>57</v>
      </c>
      <c r="O9" s="19">
        <f t="shared" si="0"/>
        <v>1277</v>
      </c>
      <c r="P9" s="19">
        <f t="shared" si="1"/>
        <v>2570</v>
      </c>
      <c r="Q9" t="s">
        <v>23</v>
      </c>
      <c r="R9" t="s">
        <v>55</v>
      </c>
      <c r="T9">
        <v>1</v>
      </c>
      <c r="U9" s="19">
        <v>1727</v>
      </c>
      <c r="V9">
        <v>0</v>
      </c>
      <c r="W9" s="19">
        <v>0</v>
      </c>
      <c r="X9">
        <v>0</v>
      </c>
      <c r="Y9" s="19">
        <v>0</v>
      </c>
      <c r="Z9">
        <v>0</v>
      </c>
      <c r="AA9" s="19">
        <v>0</v>
      </c>
      <c r="AB9">
        <v>1</v>
      </c>
      <c r="AC9" s="19">
        <v>942</v>
      </c>
      <c r="AD9">
        <v>0</v>
      </c>
      <c r="AE9" s="19">
        <v>0</v>
      </c>
      <c r="AF9">
        <v>0</v>
      </c>
      <c r="AG9" s="19">
        <v>0</v>
      </c>
      <c r="AH9">
        <v>1</v>
      </c>
      <c r="AI9" s="19">
        <v>220</v>
      </c>
      <c r="AJ9">
        <v>1</v>
      </c>
      <c r="AK9" s="19">
        <v>110</v>
      </c>
      <c r="AL9">
        <v>1</v>
      </c>
      <c r="AM9" s="19">
        <v>220</v>
      </c>
      <c r="AN9">
        <v>1</v>
      </c>
      <c r="AO9" s="19">
        <v>236</v>
      </c>
      <c r="AP9">
        <v>1</v>
      </c>
      <c r="AQ9" s="19">
        <v>393</v>
      </c>
    </row>
    <row r="10" spans="1:43" x14ac:dyDescent="0.35">
      <c r="A10" s="18">
        <v>45298</v>
      </c>
      <c r="B10" t="s">
        <v>62</v>
      </c>
      <c r="C10" t="s">
        <v>61</v>
      </c>
      <c r="D10">
        <v>7</v>
      </c>
      <c r="E10">
        <v>2</v>
      </c>
      <c r="F10">
        <v>5</v>
      </c>
      <c r="G10" s="19">
        <v>3554</v>
      </c>
      <c r="H10" s="19">
        <v>2466</v>
      </c>
      <c r="I10" s="19">
        <v>1088</v>
      </c>
      <c r="J10" s="19">
        <v>232</v>
      </c>
      <c r="K10" s="19">
        <v>97</v>
      </c>
      <c r="L10" s="19">
        <v>806</v>
      </c>
      <c r="M10" s="19">
        <v>78</v>
      </c>
      <c r="N10" s="19">
        <v>57</v>
      </c>
      <c r="O10" s="19">
        <f t="shared" si="0"/>
        <v>1270</v>
      </c>
      <c r="P10" s="19">
        <f t="shared" si="1"/>
        <v>2284</v>
      </c>
      <c r="Q10" t="s">
        <v>23</v>
      </c>
      <c r="R10" t="s">
        <v>55</v>
      </c>
      <c r="T10">
        <v>1</v>
      </c>
      <c r="U10" s="19">
        <v>1596</v>
      </c>
      <c r="V10">
        <v>0</v>
      </c>
      <c r="W10" s="19">
        <v>0</v>
      </c>
      <c r="X10">
        <v>0</v>
      </c>
      <c r="Y10" s="19">
        <v>0</v>
      </c>
      <c r="Z10">
        <v>0</v>
      </c>
      <c r="AA10" s="19">
        <v>0</v>
      </c>
      <c r="AB10">
        <v>1</v>
      </c>
      <c r="AC10" s="19">
        <v>870</v>
      </c>
      <c r="AD10">
        <v>0</v>
      </c>
      <c r="AE10" s="19">
        <v>0</v>
      </c>
      <c r="AF10">
        <v>0</v>
      </c>
      <c r="AG10" s="19">
        <v>0</v>
      </c>
      <c r="AH10">
        <v>1</v>
      </c>
      <c r="AI10" s="19">
        <v>203</v>
      </c>
      <c r="AJ10">
        <v>1</v>
      </c>
      <c r="AK10" s="19">
        <v>102</v>
      </c>
      <c r="AL10">
        <v>1</v>
      </c>
      <c r="AM10" s="19">
        <v>203</v>
      </c>
      <c r="AN10">
        <v>1</v>
      </c>
      <c r="AO10" s="19">
        <v>218</v>
      </c>
      <c r="AP10">
        <v>1</v>
      </c>
      <c r="AQ10" s="19">
        <v>363</v>
      </c>
    </row>
    <row r="11" spans="1:43" x14ac:dyDescent="0.35">
      <c r="A11" s="18">
        <v>45299</v>
      </c>
      <c r="B11" t="s">
        <v>52</v>
      </c>
      <c r="C11" t="s">
        <v>53</v>
      </c>
      <c r="D11">
        <v>5</v>
      </c>
      <c r="E11">
        <v>1</v>
      </c>
      <c r="F11">
        <v>4</v>
      </c>
      <c r="G11" s="19">
        <v>2557</v>
      </c>
      <c r="H11" s="19">
        <v>1395</v>
      </c>
      <c r="I11" s="19">
        <v>1162</v>
      </c>
      <c r="J11" s="19">
        <v>232</v>
      </c>
      <c r="K11" s="19">
        <v>97</v>
      </c>
      <c r="L11" s="19">
        <v>806</v>
      </c>
      <c r="M11" s="19">
        <v>56</v>
      </c>
      <c r="N11" s="19">
        <v>40</v>
      </c>
      <c r="O11" s="19">
        <f t="shared" si="0"/>
        <v>1231</v>
      </c>
      <c r="P11" s="19">
        <f t="shared" si="1"/>
        <v>1326</v>
      </c>
      <c r="Q11" t="s">
        <v>27</v>
      </c>
      <c r="R11" t="s">
        <v>55</v>
      </c>
      <c r="T11">
        <v>0</v>
      </c>
      <c r="U11" s="19">
        <v>0</v>
      </c>
      <c r="V11">
        <v>0</v>
      </c>
      <c r="W11" s="19">
        <v>0</v>
      </c>
      <c r="X11">
        <v>0</v>
      </c>
      <c r="Y11" s="19">
        <v>0</v>
      </c>
      <c r="Z11">
        <v>0</v>
      </c>
      <c r="AA11" s="19">
        <v>0</v>
      </c>
      <c r="AB11">
        <v>1</v>
      </c>
      <c r="AC11" s="19">
        <v>1395</v>
      </c>
      <c r="AD11">
        <v>0</v>
      </c>
      <c r="AE11" s="19">
        <v>0</v>
      </c>
      <c r="AF11">
        <v>0</v>
      </c>
      <c r="AG11" s="19">
        <v>0</v>
      </c>
      <c r="AH11">
        <v>1</v>
      </c>
      <c r="AI11" s="19">
        <v>325</v>
      </c>
      <c r="AJ11">
        <v>1</v>
      </c>
      <c r="AK11" s="19">
        <v>163</v>
      </c>
      <c r="AL11">
        <v>1</v>
      </c>
      <c r="AM11" s="19">
        <v>325</v>
      </c>
      <c r="AN11">
        <v>1</v>
      </c>
      <c r="AO11" s="19">
        <v>349</v>
      </c>
      <c r="AP11">
        <v>0</v>
      </c>
      <c r="AQ11" s="19">
        <v>0</v>
      </c>
    </row>
    <row r="12" spans="1:43" x14ac:dyDescent="0.35">
      <c r="A12" s="18">
        <v>45300</v>
      </c>
      <c r="B12" t="s">
        <v>56</v>
      </c>
      <c r="C12" t="s">
        <v>53</v>
      </c>
      <c r="D12">
        <v>6</v>
      </c>
      <c r="E12">
        <v>2</v>
      </c>
      <c r="F12">
        <v>4</v>
      </c>
      <c r="G12" s="19">
        <v>2980</v>
      </c>
      <c r="H12" s="19">
        <v>2303</v>
      </c>
      <c r="I12" s="19">
        <v>677</v>
      </c>
      <c r="J12" s="19">
        <v>232</v>
      </c>
      <c r="K12" s="19">
        <v>97</v>
      </c>
      <c r="L12" s="19">
        <v>806</v>
      </c>
      <c r="M12" s="19">
        <v>66</v>
      </c>
      <c r="N12" s="19">
        <v>49</v>
      </c>
      <c r="O12" s="19">
        <f t="shared" si="0"/>
        <v>1250</v>
      </c>
      <c r="P12" s="19">
        <f t="shared" si="1"/>
        <v>1730</v>
      </c>
      <c r="Q12" t="s">
        <v>23</v>
      </c>
      <c r="R12" t="s">
        <v>55</v>
      </c>
      <c r="T12">
        <v>1</v>
      </c>
      <c r="U12" s="19">
        <v>1490</v>
      </c>
      <c r="V12">
        <v>0</v>
      </c>
      <c r="W12" s="19">
        <v>0</v>
      </c>
      <c r="X12">
        <v>0</v>
      </c>
      <c r="Y12" s="19">
        <v>0</v>
      </c>
      <c r="Z12">
        <v>0</v>
      </c>
      <c r="AA12" s="19">
        <v>0</v>
      </c>
      <c r="AB12">
        <v>1</v>
      </c>
      <c r="AC12" s="19">
        <v>813</v>
      </c>
      <c r="AD12">
        <v>0</v>
      </c>
      <c r="AE12" s="19">
        <v>0</v>
      </c>
      <c r="AF12">
        <v>0</v>
      </c>
      <c r="AG12" s="19">
        <v>0</v>
      </c>
      <c r="AH12">
        <v>1</v>
      </c>
      <c r="AI12" s="19">
        <v>190</v>
      </c>
      <c r="AJ12">
        <v>1</v>
      </c>
      <c r="AK12" s="19">
        <v>95</v>
      </c>
      <c r="AL12">
        <v>1</v>
      </c>
      <c r="AM12" s="19">
        <v>190</v>
      </c>
      <c r="AN12">
        <v>1</v>
      </c>
      <c r="AO12" s="19">
        <v>203</v>
      </c>
      <c r="AP12">
        <v>0</v>
      </c>
      <c r="AQ12" s="19">
        <v>0</v>
      </c>
    </row>
    <row r="13" spans="1:43" x14ac:dyDescent="0.35">
      <c r="A13" s="18">
        <v>45301</v>
      </c>
      <c r="B13" t="s">
        <v>57</v>
      </c>
      <c r="C13" t="s">
        <v>53</v>
      </c>
      <c r="D13">
        <v>5</v>
      </c>
      <c r="E13">
        <v>1</v>
      </c>
      <c r="F13">
        <v>4</v>
      </c>
      <c r="G13" s="19">
        <v>2929</v>
      </c>
      <c r="H13" s="19">
        <v>1598</v>
      </c>
      <c r="I13" s="19">
        <v>1331</v>
      </c>
      <c r="J13" s="19">
        <v>232</v>
      </c>
      <c r="K13" s="19">
        <v>97</v>
      </c>
      <c r="L13" s="19">
        <v>806</v>
      </c>
      <c r="M13" s="19">
        <v>65</v>
      </c>
      <c r="N13" s="19">
        <v>40</v>
      </c>
      <c r="O13" s="19">
        <f t="shared" si="0"/>
        <v>1240</v>
      </c>
      <c r="P13" s="19">
        <f t="shared" si="1"/>
        <v>1689</v>
      </c>
      <c r="Q13" t="s">
        <v>27</v>
      </c>
      <c r="R13" t="s">
        <v>55</v>
      </c>
      <c r="T13">
        <v>0</v>
      </c>
      <c r="U13" s="19">
        <v>0</v>
      </c>
      <c r="V13">
        <v>0</v>
      </c>
      <c r="W13" s="19">
        <v>0</v>
      </c>
      <c r="X13">
        <v>0</v>
      </c>
      <c r="Y13" s="19">
        <v>0</v>
      </c>
      <c r="Z13">
        <v>0</v>
      </c>
      <c r="AA13" s="19">
        <v>0</v>
      </c>
      <c r="AB13">
        <v>1</v>
      </c>
      <c r="AC13" s="19">
        <v>1598</v>
      </c>
      <c r="AD13">
        <v>0</v>
      </c>
      <c r="AE13" s="19">
        <v>0</v>
      </c>
      <c r="AF13">
        <v>0</v>
      </c>
      <c r="AG13" s="19">
        <v>0</v>
      </c>
      <c r="AH13">
        <v>1</v>
      </c>
      <c r="AI13" s="19">
        <v>373</v>
      </c>
      <c r="AJ13">
        <v>1</v>
      </c>
      <c r="AK13" s="19">
        <v>186</v>
      </c>
      <c r="AL13">
        <v>1</v>
      </c>
      <c r="AM13" s="19">
        <v>373</v>
      </c>
      <c r="AN13">
        <v>1</v>
      </c>
      <c r="AO13" s="19">
        <v>399</v>
      </c>
      <c r="AP13">
        <v>0</v>
      </c>
      <c r="AQ13" s="19">
        <v>0</v>
      </c>
    </row>
    <row r="14" spans="1:43" x14ac:dyDescent="0.35">
      <c r="A14" s="18">
        <v>45302</v>
      </c>
      <c r="B14" t="s">
        <v>58</v>
      </c>
      <c r="C14" t="s">
        <v>53</v>
      </c>
      <c r="D14">
        <v>6</v>
      </c>
      <c r="E14">
        <v>2</v>
      </c>
      <c r="F14">
        <v>4</v>
      </c>
      <c r="G14" s="19">
        <v>3131</v>
      </c>
      <c r="H14" s="19">
        <v>2419</v>
      </c>
      <c r="I14" s="19">
        <v>712</v>
      </c>
      <c r="J14" s="19">
        <v>232</v>
      </c>
      <c r="K14" s="19">
        <v>97</v>
      </c>
      <c r="L14" s="19">
        <v>806</v>
      </c>
      <c r="M14" s="19">
        <v>69</v>
      </c>
      <c r="N14" s="19">
        <v>49</v>
      </c>
      <c r="O14" s="19">
        <f t="shared" si="0"/>
        <v>1253</v>
      </c>
      <c r="P14" s="19">
        <f t="shared" si="1"/>
        <v>1878</v>
      </c>
      <c r="Q14" t="s">
        <v>23</v>
      </c>
      <c r="R14" t="s">
        <v>55</v>
      </c>
      <c r="T14">
        <v>1</v>
      </c>
      <c r="U14" s="19">
        <v>1566</v>
      </c>
      <c r="V14">
        <v>0</v>
      </c>
      <c r="W14" s="19">
        <v>0</v>
      </c>
      <c r="X14">
        <v>0</v>
      </c>
      <c r="Y14" s="19">
        <v>0</v>
      </c>
      <c r="Z14">
        <v>0</v>
      </c>
      <c r="AA14" s="19">
        <v>0</v>
      </c>
      <c r="AB14">
        <v>1</v>
      </c>
      <c r="AC14" s="19">
        <v>854</v>
      </c>
      <c r="AD14">
        <v>0</v>
      </c>
      <c r="AE14" s="19">
        <v>0</v>
      </c>
      <c r="AF14">
        <v>0</v>
      </c>
      <c r="AG14" s="19">
        <v>0</v>
      </c>
      <c r="AH14">
        <v>1</v>
      </c>
      <c r="AI14" s="19">
        <v>199</v>
      </c>
      <c r="AJ14">
        <v>1</v>
      </c>
      <c r="AK14" s="19">
        <v>100</v>
      </c>
      <c r="AL14">
        <v>1</v>
      </c>
      <c r="AM14" s="19">
        <v>199</v>
      </c>
      <c r="AN14">
        <v>1</v>
      </c>
      <c r="AO14" s="19">
        <v>213</v>
      </c>
      <c r="AP14">
        <v>0</v>
      </c>
      <c r="AQ14" s="19">
        <v>0</v>
      </c>
    </row>
    <row r="15" spans="1:43" x14ac:dyDescent="0.35">
      <c r="A15" s="18">
        <v>45303</v>
      </c>
      <c r="B15" t="s">
        <v>59</v>
      </c>
      <c r="C15" t="s">
        <v>53</v>
      </c>
      <c r="D15">
        <v>6</v>
      </c>
      <c r="E15">
        <v>1</v>
      </c>
      <c r="F15">
        <v>5</v>
      </c>
      <c r="G15" s="19">
        <v>3391</v>
      </c>
      <c r="H15" s="19">
        <v>2016</v>
      </c>
      <c r="I15" s="19">
        <v>1375</v>
      </c>
      <c r="J15" s="19">
        <v>232</v>
      </c>
      <c r="K15" s="19">
        <v>97</v>
      </c>
      <c r="L15" s="19">
        <v>806</v>
      </c>
      <c r="M15" s="19">
        <v>75</v>
      </c>
      <c r="N15" s="19">
        <v>49</v>
      </c>
      <c r="O15" s="19">
        <f t="shared" si="0"/>
        <v>1259</v>
      </c>
      <c r="P15" s="19">
        <f t="shared" si="1"/>
        <v>2132</v>
      </c>
      <c r="Q15" t="s">
        <v>23</v>
      </c>
      <c r="R15" t="s">
        <v>55</v>
      </c>
      <c r="T15">
        <v>1</v>
      </c>
      <c r="U15" s="19">
        <v>2016</v>
      </c>
      <c r="V15">
        <v>0</v>
      </c>
      <c r="W15" s="19">
        <v>0</v>
      </c>
      <c r="X15">
        <v>0</v>
      </c>
      <c r="Y15" s="19">
        <v>0</v>
      </c>
      <c r="Z15">
        <v>0</v>
      </c>
      <c r="AA15" s="19">
        <v>0</v>
      </c>
      <c r="AB15">
        <v>0</v>
      </c>
      <c r="AC15" s="19">
        <v>0</v>
      </c>
      <c r="AD15">
        <v>0</v>
      </c>
      <c r="AE15" s="19">
        <v>0</v>
      </c>
      <c r="AF15">
        <v>0</v>
      </c>
      <c r="AG15" s="19">
        <v>0</v>
      </c>
      <c r="AH15">
        <v>1</v>
      </c>
      <c r="AI15" s="19">
        <v>257</v>
      </c>
      <c r="AJ15">
        <v>1</v>
      </c>
      <c r="AK15" s="19">
        <v>128</v>
      </c>
      <c r="AL15">
        <v>1</v>
      </c>
      <c r="AM15" s="19">
        <v>257</v>
      </c>
      <c r="AN15">
        <v>1</v>
      </c>
      <c r="AO15" s="19">
        <v>275</v>
      </c>
      <c r="AP15">
        <v>1</v>
      </c>
      <c r="AQ15" s="19">
        <v>458</v>
      </c>
    </row>
    <row r="16" spans="1:43" x14ac:dyDescent="0.35">
      <c r="A16" s="18">
        <v>45304</v>
      </c>
      <c r="B16" t="s">
        <v>60</v>
      </c>
      <c r="C16" t="s">
        <v>61</v>
      </c>
      <c r="D16">
        <v>7</v>
      </c>
      <c r="E16">
        <v>3</v>
      </c>
      <c r="F16">
        <v>4</v>
      </c>
      <c r="G16" s="19">
        <v>3832</v>
      </c>
      <c r="H16" s="19">
        <v>3193</v>
      </c>
      <c r="I16" s="19">
        <v>639</v>
      </c>
      <c r="J16" s="19">
        <v>232</v>
      </c>
      <c r="K16" s="19">
        <v>97</v>
      </c>
      <c r="L16" s="19">
        <v>806</v>
      </c>
      <c r="M16" s="19">
        <v>85</v>
      </c>
      <c r="N16" s="19">
        <v>57</v>
      </c>
      <c r="O16" s="19">
        <f t="shared" si="0"/>
        <v>1277</v>
      </c>
      <c r="P16" s="19">
        <f t="shared" si="1"/>
        <v>2555</v>
      </c>
      <c r="Q16" t="s">
        <v>23</v>
      </c>
      <c r="R16" t="s">
        <v>55</v>
      </c>
      <c r="T16">
        <v>1</v>
      </c>
      <c r="U16" s="19">
        <v>1405</v>
      </c>
      <c r="V16">
        <v>0</v>
      </c>
      <c r="W16" s="19">
        <v>0</v>
      </c>
      <c r="X16">
        <v>0</v>
      </c>
      <c r="Y16" s="19">
        <v>0</v>
      </c>
      <c r="Z16">
        <v>1</v>
      </c>
      <c r="AA16" s="19">
        <v>1022</v>
      </c>
      <c r="AB16">
        <v>1</v>
      </c>
      <c r="AC16" s="19">
        <v>766</v>
      </c>
      <c r="AD16">
        <v>0</v>
      </c>
      <c r="AE16" s="19">
        <v>0</v>
      </c>
      <c r="AF16">
        <v>0</v>
      </c>
      <c r="AG16" s="19">
        <v>0</v>
      </c>
      <c r="AH16">
        <v>1</v>
      </c>
      <c r="AI16" s="19">
        <v>179</v>
      </c>
      <c r="AJ16">
        <v>1</v>
      </c>
      <c r="AK16" s="19">
        <v>89</v>
      </c>
      <c r="AL16">
        <v>1</v>
      </c>
      <c r="AM16" s="19">
        <v>179</v>
      </c>
      <c r="AN16">
        <v>1</v>
      </c>
      <c r="AO16" s="19">
        <v>192</v>
      </c>
      <c r="AP16">
        <v>0</v>
      </c>
      <c r="AQ16" s="19">
        <v>0</v>
      </c>
    </row>
    <row r="17" spans="1:43" x14ac:dyDescent="0.35">
      <c r="A17" s="18">
        <v>45305</v>
      </c>
      <c r="B17" t="s">
        <v>62</v>
      </c>
      <c r="C17" t="s">
        <v>61</v>
      </c>
      <c r="D17">
        <v>7</v>
      </c>
      <c r="E17">
        <v>2</v>
      </c>
      <c r="F17">
        <v>5</v>
      </c>
      <c r="G17" s="19">
        <v>3897</v>
      </c>
      <c r="H17" s="19">
        <v>2704</v>
      </c>
      <c r="I17" s="19">
        <v>1193</v>
      </c>
      <c r="J17" s="19">
        <v>232</v>
      </c>
      <c r="K17" s="19">
        <v>97</v>
      </c>
      <c r="L17" s="19">
        <v>806</v>
      </c>
      <c r="M17" s="19">
        <v>86</v>
      </c>
      <c r="N17" s="19">
        <v>57</v>
      </c>
      <c r="O17" s="19">
        <f t="shared" si="0"/>
        <v>1278</v>
      </c>
      <c r="P17" s="19">
        <f t="shared" si="1"/>
        <v>2619</v>
      </c>
      <c r="Q17" t="s">
        <v>23</v>
      </c>
      <c r="R17" t="s">
        <v>55</v>
      </c>
      <c r="T17">
        <v>1</v>
      </c>
      <c r="U17" s="19">
        <v>1750</v>
      </c>
      <c r="V17">
        <v>0</v>
      </c>
      <c r="W17" s="19">
        <v>0</v>
      </c>
      <c r="X17">
        <v>0</v>
      </c>
      <c r="Y17" s="19">
        <v>0</v>
      </c>
      <c r="Z17">
        <v>0</v>
      </c>
      <c r="AA17" s="19">
        <v>0</v>
      </c>
      <c r="AB17">
        <v>1</v>
      </c>
      <c r="AC17" s="19">
        <v>954</v>
      </c>
      <c r="AD17">
        <v>0</v>
      </c>
      <c r="AE17" s="19">
        <v>0</v>
      </c>
      <c r="AF17">
        <v>0</v>
      </c>
      <c r="AG17" s="19">
        <v>0</v>
      </c>
      <c r="AH17">
        <v>1</v>
      </c>
      <c r="AI17" s="19">
        <v>223</v>
      </c>
      <c r="AJ17">
        <v>1</v>
      </c>
      <c r="AK17" s="19">
        <v>111</v>
      </c>
      <c r="AL17">
        <v>1</v>
      </c>
      <c r="AM17" s="19">
        <v>223</v>
      </c>
      <c r="AN17">
        <v>1</v>
      </c>
      <c r="AO17" s="19">
        <v>239</v>
      </c>
      <c r="AP17">
        <v>1</v>
      </c>
      <c r="AQ17" s="19">
        <v>398</v>
      </c>
    </row>
    <row r="18" spans="1:43" x14ac:dyDescent="0.35">
      <c r="A18" s="18">
        <v>45306</v>
      </c>
      <c r="B18" t="s">
        <v>52</v>
      </c>
      <c r="C18" t="s">
        <v>53</v>
      </c>
      <c r="D18">
        <v>5</v>
      </c>
      <c r="E18">
        <v>1</v>
      </c>
      <c r="F18">
        <v>4</v>
      </c>
      <c r="G18" s="19">
        <v>2567</v>
      </c>
      <c r="H18" s="19">
        <v>1765</v>
      </c>
      <c r="I18" s="19">
        <v>802</v>
      </c>
      <c r="J18" s="19">
        <v>232</v>
      </c>
      <c r="K18" s="19">
        <v>97</v>
      </c>
      <c r="L18" s="19">
        <v>806</v>
      </c>
      <c r="M18" s="19">
        <v>57</v>
      </c>
      <c r="N18" s="19">
        <v>40</v>
      </c>
      <c r="O18" s="19">
        <f t="shared" si="0"/>
        <v>1232</v>
      </c>
      <c r="P18" s="19">
        <f t="shared" si="1"/>
        <v>1335</v>
      </c>
      <c r="Q18" t="s">
        <v>23</v>
      </c>
      <c r="R18" t="s">
        <v>55</v>
      </c>
      <c r="T18">
        <v>1</v>
      </c>
      <c r="U18" s="19">
        <v>1765</v>
      </c>
      <c r="V18">
        <v>0</v>
      </c>
      <c r="W18" s="19">
        <v>0</v>
      </c>
      <c r="X18">
        <v>0</v>
      </c>
      <c r="Y18" s="19">
        <v>0</v>
      </c>
      <c r="Z18">
        <v>0</v>
      </c>
      <c r="AA18" s="19">
        <v>0</v>
      </c>
      <c r="AB18">
        <v>0</v>
      </c>
      <c r="AC18" s="19">
        <v>0</v>
      </c>
      <c r="AD18">
        <v>0</v>
      </c>
      <c r="AE18" s="19">
        <v>0</v>
      </c>
      <c r="AF18">
        <v>0</v>
      </c>
      <c r="AG18" s="19">
        <v>0</v>
      </c>
      <c r="AH18">
        <v>1</v>
      </c>
      <c r="AI18" s="19">
        <v>225</v>
      </c>
      <c r="AJ18">
        <v>1</v>
      </c>
      <c r="AK18" s="19">
        <v>112</v>
      </c>
      <c r="AL18">
        <v>1</v>
      </c>
      <c r="AM18" s="19">
        <v>225</v>
      </c>
      <c r="AN18">
        <v>1</v>
      </c>
      <c r="AO18" s="19">
        <v>241</v>
      </c>
      <c r="AP18">
        <v>0</v>
      </c>
      <c r="AQ18" s="19">
        <v>0</v>
      </c>
    </row>
    <row r="19" spans="1:43" x14ac:dyDescent="0.35">
      <c r="A19" s="18">
        <v>45307</v>
      </c>
      <c r="B19" t="s">
        <v>56</v>
      </c>
      <c r="C19" t="s">
        <v>53</v>
      </c>
      <c r="D19">
        <v>6</v>
      </c>
      <c r="E19">
        <v>2</v>
      </c>
      <c r="F19">
        <v>4</v>
      </c>
      <c r="G19" s="19">
        <v>3071</v>
      </c>
      <c r="H19" s="19">
        <v>2373</v>
      </c>
      <c r="I19" s="19">
        <v>698</v>
      </c>
      <c r="J19" s="19">
        <v>232</v>
      </c>
      <c r="K19" s="19">
        <v>97</v>
      </c>
      <c r="L19" s="19">
        <v>806</v>
      </c>
      <c r="M19" s="19">
        <v>68</v>
      </c>
      <c r="N19" s="19">
        <v>49</v>
      </c>
      <c r="O19" s="19">
        <f t="shared" si="0"/>
        <v>1252</v>
      </c>
      <c r="P19" s="19">
        <f t="shared" si="1"/>
        <v>1819</v>
      </c>
      <c r="Q19" t="s">
        <v>23</v>
      </c>
      <c r="R19" t="s">
        <v>55</v>
      </c>
      <c r="T19">
        <v>1</v>
      </c>
      <c r="U19" s="19">
        <v>1536</v>
      </c>
      <c r="V19">
        <v>0</v>
      </c>
      <c r="W19" s="19">
        <v>0</v>
      </c>
      <c r="X19">
        <v>0</v>
      </c>
      <c r="Y19" s="19">
        <v>0</v>
      </c>
      <c r="Z19">
        <v>0</v>
      </c>
      <c r="AA19" s="19">
        <v>0</v>
      </c>
      <c r="AB19">
        <v>1</v>
      </c>
      <c r="AC19" s="19">
        <v>838</v>
      </c>
      <c r="AD19">
        <v>0</v>
      </c>
      <c r="AE19" s="19">
        <v>0</v>
      </c>
      <c r="AF19">
        <v>0</v>
      </c>
      <c r="AG19" s="19">
        <v>0</v>
      </c>
      <c r="AH19">
        <v>1</v>
      </c>
      <c r="AI19" s="19">
        <v>195</v>
      </c>
      <c r="AJ19">
        <v>1</v>
      </c>
      <c r="AK19" s="19">
        <v>98</v>
      </c>
      <c r="AL19">
        <v>1</v>
      </c>
      <c r="AM19" s="19">
        <v>195</v>
      </c>
      <c r="AN19">
        <v>1</v>
      </c>
      <c r="AO19" s="19">
        <v>209</v>
      </c>
      <c r="AP19">
        <v>0</v>
      </c>
      <c r="AQ19" s="19">
        <v>0</v>
      </c>
    </row>
    <row r="20" spans="1:43" x14ac:dyDescent="0.35">
      <c r="A20" s="18">
        <v>45308</v>
      </c>
      <c r="B20" t="s">
        <v>57</v>
      </c>
      <c r="C20" t="s">
        <v>53</v>
      </c>
      <c r="D20">
        <v>6</v>
      </c>
      <c r="E20">
        <v>2</v>
      </c>
      <c r="F20">
        <v>4</v>
      </c>
      <c r="G20" s="19">
        <v>3206</v>
      </c>
      <c r="H20" s="19">
        <v>2477</v>
      </c>
      <c r="I20" s="19">
        <v>729</v>
      </c>
      <c r="J20" s="19">
        <v>232</v>
      </c>
      <c r="K20" s="19">
        <v>97</v>
      </c>
      <c r="L20" s="19">
        <v>806</v>
      </c>
      <c r="M20" s="19">
        <v>71</v>
      </c>
      <c r="N20" s="19">
        <v>49</v>
      </c>
      <c r="O20" s="19">
        <f t="shared" si="0"/>
        <v>1255</v>
      </c>
      <c r="P20" s="19">
        <f t="shared" si="1"/>
        <v>1951</v>
      </c>
      <c r="Q20" t="s">
        <v>23</v>
      </c>
      <c r="R20" t="s">
        <v>55</v>
      </c>
      <c r="T20">
        <v>1</v>
      </c>
      <c r="U20" s="19">
        <v>1603</v>
      </c>
      <c r="V20">
        <v>0</v>
      </c>
      <c r="W20" s="19">
        <v>0</v>
      </c>
      <c r="X20">
        <v>0</v>
      </c>
      <c r="Y20" s="19">
        <v>0</v>
      </c>
      <c r="Z20">
        <v>0</v>
      </c>
      <c r="AA20" s="19">
        <v>0</v>
      </c>
      <c r="AB20">
        <v>1</v>
      </c>
      <c r="AC20" s="19">
        <v>874</v>
      </c>
      <c r="AD20">
        <v>0</v>
      </c>
      <c r="AE20" s="19">
        <v>0</v>
      </c>
      <c r="AF20">
        <v>0</v>
      </c>
      <c r="AG20" s="19">
        <v>0</v>
      </c>
      <c r="AH20">
        <v>1</v>
      </c>
      <c r="AI20" s="19">
        <v>204</v>
      </c>
      <c r="AJ20">
        <v>1</v>
      </c>
      <c r="AK20" s="19">
        <v>102</v>
      </c>
      <c r="AL20">
        <v>1</v>
      </c>
      <c r="AM20" s="19">
        <v>204</v>
      </c>
      <c r="AN20">
        <v>1</v>
      </c>
      <c r="AO20" s="19">
        <v>219</v>
      </c>
      <c r="AP20">
        <v>0</v>
      </c>
      <c r="AQ20" s="19">
        <v>0</v>
      </c>
    </row>
    <row r="21" spans="1:43" x14ac:dyDescent="0.35">
      <c r="A21" s="18">
        <v>45309</v>
      </c>
      <c r="B21" t="s">
        <v>58</v>
      </c>
      <c r="C21" t="s">
        <v>53</v>
      </c>
      <c r="D21">
        <v>6</v>
      </c>
      <c r="E21">
        <v>2</v>
      </c>
      <c r="F21">
        <v>4</v>
      </c>
      <c r="G21" s="19">
        <v>3196</v>
      </c>
      <c r="H21" s="19">
        <v>2470</v>
      </c>
      <c r="I21" s="19">
        <v>726</v>
      </c>
      <c r="J21" s="19">
        <v>232</v>
      </c>
      <c r="K21" s="19">
        <v>97</v>
      </c>
      <c r="L21" s="19">
        <v>806</v>
      </c>
      <c r="M21" s="19">
        <v>70</v>
      </c>
      <c r="N21" s="19">
        <v>49</v>
      </c>
      <c r="O21" s="19">
        <f t="shared" si="0"/>
        <v>1254</v>
      </c>
      <c r="P21" s="19">
        <f t="shared" si="1"/>
        <v>1942</v>
      </c>
      <c r="Q21" t="s">
        <v>23</v>
      </c>
      <c r="R21" t="s">
        <v>55</v>
      </c>
      <c r="T21">
        <v>1</v>
      </c>
      <c r="U21" s="19">
        <v>1598</v>
      </c>
      <c r="V21">
        <v>0</v>
      </c>
      <c r="W21" s="19">
        <v>0</v>
      </c>
      <c r="X21">
        <v>0</v>
      </c>
      <c r="Y21" s="19">
        <v>0</v>
      </c>
      <c r="Z21">
        <v>0</v>
      </c>
      <c r="AA21" s="19">
        <v>0</v>
      </c>
      <c r="AB21">
        <v>1</v>
      </c>
      <c r="AC21" s="19">
        <v>872</v>
      </c>
      <c r="AD21">
        <v>0</v>
      </c>
      <c r="AE21" s="19">
        <v>0</v>
      </c>
      <c r="AF21">
        <v>0</v>
      </c>
      <c r="AG21" s="19">
        <v>0</v>
      </c>
      <c r="AH21">
        <v>1</v>
      </c>
      <c r="AI21" s="19">
        <v>203</v>
      </c>
      <c r="AJ21">
        <v>1</v>
      </c>
      <c r="AK21" s="19">
        <v>102</v>
      </c>
      <c r="AL21">
        <v>1</v>
      </c>
      <c r="AM21" s="19">
        <v>203</v>
      </c>
      <c r="AN21">
        <v>1</v>
      </c>
      <c r="AO21" s="19">
        <v>218</v>
      </c>
      <c r="AP21">
        <v>0</v>
      </c>
      <c r="AQ21" s="19">
        <v>0</v>
      </c>
    </row>
    <row r="22" spans="1:43" x14ac:dyDescent="0.35">
      <c r="A22" s="18">
        <v>45310</v>
      </c>
      <c r="B22" t="s">
        <v>59</v>
      </c>
      <c r="C22" t="s">
        <v>53</v>
      </c>
      <c r="D22">
        <v>6</v>
      </c>
      <c r="E22">
        <v>1</v>
      </c>
      <c r="F22">
        <v>5</v>
      </c>
      <c r="G22" s="19">
        <v>3169</v>
      </c>
      <c r="H22" s="19">
        <v>1408</v>
      </c>
      <c r="I22" s="19">
        <v>1761</v>
      </c>
      <c r="J22" s="19">
        <v>232</v>
      </c>
      <c r="K22" s="19">
        <v>97</v>
      </c>
      <c r="L22" s="19">
        <v>806</v>
      </c>
      <c r="M22" s="19">
        <v>70</v>
      </c>
      <c r="N22" s="19">
        <v>49</v>
      </c>
      <c r="O22" s="19">
        <f t="shared" si="0"/>
        <v>1254</v>
      </c>
      <c r="P22" s="19">
        <f t="shared" si="1"/>
        <v>1915</v>
      </c>
      <c r="Q22" t="s">
        <v>27</v>
      </c>
      <c r="R22" t="s">
        <v>55</v>
      </c>
      <c r="T22">
        <v>0</v>
      </c>
      <c r="U22" s="19">
        <v>0</v>
      </c>
      <c r="V22">
        <v>0</v>
      </c>
      <c r="W22" s="19">
        <v>0</v>
      </c>
      <c r="X22">
        <v>0</v>
      </c>
      <c r="Y22" s="19">
        <v>0</v>
      </c>
      <c r="Z22">
        <v>0</v>
      </c>
      <c r="AA22" s="19">
        <v>0</v>
      </c>
      <c r="AB22">
        <v>1</v>
      </c>
      <c r="AC22" s="19">
        <v>1408</v>
      </c>
      <c r="AD22">
        <v>0</v>
      </c>
      <c r="AE22" s="19">
        <v>0</v>
      </c>
      <c r="AF22">
        <v>0</v>
      </c>
      <c r="AG22" s="19">
        <v>0</v>
      </c>
      <c r="AH22">
        <v>1</v>
      </c>
      <c r="AI22" s="19">
        <v>329</v>
      </c>
      <c r="AJ22">
        <v>1</v>
      </c>
      <c r="AK22" s="19">
        <v>164</v>
      </c>
      <c r="AL22">
        <v>1</v>
      </c>
      <c r="AM22" s="19">
        <v>329</v>
      </c>
      <c r="AN22">
        <v>1</v>
      </c>
      <c r="AO22" s="19">
        <v>352</v>
      </c>
      <c r="AP22">
        <v>1</v>
      </c>
      <c r="AQ22" s="19">
        <v>587</v>
      </c>
    </row>
    <row r="23" spans="1:43" x14ac:dyDescent="0.35">
      <c r="A23" s="18">
        <v>45311</v>
      </c>
      <c r="B23" t="s">
        <v>60</v>
      </c>
      <c r="C23" t="s">
        <v>61</v>
      </c>
      <c r="D23">
        <v>8</v>
      </c>
      <c r="E23">
        <v>3</v>
      </c>
      <c r="F23">
        <v>5</v>
      </c>
      <c r="G23" s="19">
        <v>4216</v>
      </c>
      <c r="H23" s="19">
        <v>2995</v>
      </c>
      <c r="I23" s="19">
        <v>1221</v>
      </c>
      <c r="J23" s="19">
        <v>232</v>
      </c>
      <c r="K23" s="19">
        <v>97</v>
      </c>
      <c r="L23" s="19">
        <v>806</v>
      </c>
      <c r="M23" s="19">
        <v>93</v>
      </c>
      <c r="N23" s="19">
        <v>65</v>
      </c>
      <c r="O23" s="19">
        <f t="shared" si="0"/>
        <v>1293</v>
      </c>
      <c r="P23" s="19">
        <f t="shared" si="1"/>
        <v>2923</v>
      </c>
      <c r="Q23" t="s">
        <v>23</v>
      </c>
      <c r="R23" t="s">
        <v>55</v>
      </c>
      <c r="T23">
        <v>1</v>
      </c>
      <c r="U23" s="19">
        <v>1791</v>
      </c>
      <c r="V23">
        <v>0</v>
      </c>
      <c r="W23" s="19">
        <v>0</v>
      </c>
      <c r="X23">
        <v>0</v>
      </c>
      <c r="Y23" s="19">
        <v>0</v>
      </c>
      <c r="Z23">
        <v>0</v>
      </c>
      <c r="AA23" s="19">
        <v>0</v>
      </c>
      <c r="AB23">
        <v>1</v>
      </c>
      <c r="AC23" s="19">
        <v>977</v>
      </c>
      <c r="AD23">
        <v>0</v>
      </c>
      <c r="AE23" s="19">
        <v>0</v>
      </c>
      <c r="AF23">
        <v>0</v>
      </c>
      <c r="AG23" s="19">
        <v>0</v>
      </c>
      <c r="AH23">
        <v>2</v>
      </c>
      <c r="AI23" s="19">
        <v>456</v>
      </c>
      <c r="AJ23">
        <v>1</v>
      </c>
      <c r="AK23" s="19">
        <v>114</v>
      </c>
      <c r="AL23">
        <v>1</v>
      </c>
      <c r="AM23" s="19">
        <v>228</v>
      </c>
      <c r="AN23">
        <v>1</v>
      </c>
      <c r="AO23" s="19">
        <v>244</v>
      </c>
      <c r="AP23">
        <v>1</v>
      </c>
      <c r="AQ23" s="19">
        <v>407</v>
      </c>
    </row>
    <row r="24" spans="1:43" x14ac:dyDescent="0.35">
      <c r="A24" s="18">
        <v>45312</v>
      </c>
      <c r="B24" t="s">
        <v>62</v>
      </c>
      <c r="C24" t="s">
        <v>61</v>
      </c>
      <c r="D24">
        <v>7</v>
      </c>
      <c r="E24">
        <v>2</v>
      </c>
      <c r="F24">
        <v>5</v>
      </c>
      <c r="G24" s="19">
        <v>3904</v>
      </c>
      <c r="H24" s="19">
        <v>2709</v>
      </c>
      <c r="I24" s="19">
        <v>1195</v>
      </c>
      <c r="J24" s="19">
        <v>232</v>
      </c>
      <c r="K24" s="19">
        <v>97</v>
      </c>
      <c r="L24" s="19">
        <v>806</v>
      </c>
      <c r="M24" s="19">
        <v>86</v>
      </c>
      <c r="N24" s="19">
        <v>57</v>
      </c>
      <c r="O24" s="19">
        <f t="shared" si="0"/>
        <v>1278</v>
      </c>
      <c r="P24" s="19">
        <f t="shared" si="1"/>
        <v>2626</v>
      </c>
      <c r="Q24" t="s">
        <v>23</v>
      </c>
      <c r="R24" t="s">
        <v>55</v>
      </c>
      <c r="T24">
        <v>1</v>
      </c>
      <c r="U24" s="19">
        <v>1753</v>
      </c>
      <c r="V24">
        <v>0</v>
      </c>
      <c r="W24" s="19">
        <v>0</v>
      </c>
      <c r="X24">
        <v>0</v>
      </c>
      <c r="Y24" s="19">
        <v>0</v>
      </c>
      <c r="Z24">
        <v>0</v>
      </c>
      <c r="AA24" s="19">
        <v>0</v>
      </c>
      <c r="AB24">
        <v>1</v>
      </c>
      <c r="AC24" s="19">
        <v>956</v>
      </c>
      <c r="AD24">
        <v>0</v>
      </c>
      <c r="AE24" s="19">
        <v>0</v>
      </c>
      <c r="AF24">
        <v>0</v>
      </c>
      <c r="AG24" s="19">
        <v>0</v>
      </c>
      <c r="AH24">
        <v>1</v>
      </c>
      <c r="AI24" s="19">
        <v>223</v>
      </c>
      <c r="AJ24">
        <v>1</v>
      </c>
      <c r="AK24" s="19">
        <v>112</v>
      </c>
      <c r="AL24">
        <v>1</v>
      </c>
      <c r="AM24" s="19">
        <v>223</v>
      </c>
      <c r="AN24">
        <v>1</v>
      </c>
      <c r="AO24" s="19">
        <v>239</v>
      </c>
      <c r="AP24">
        <v>1</v>
      </c>
      <c r="AQ24" s="19">
        <v>398</v>
      </c>
    </row>
    <row r="25" spans="1:43" x14ac:dyDescent="0.35">
      <c r="A25" s="18">
        <v>45313</v>
      </c>
      <c r="B25" t="s">
        <v>52</v>
      </c>
      <c r="C25" t="s">
        <v>53</v>
      </c>
      <c r="D25">
        <v>5</v>
      </c>
      <c r="E25">
        <v>1</v>
      </c>
      <c r="F25">
        <v>4</v>
      </c>
      <c r="G25" s="19">
        <v>2791</v>
      </c>
      <c r="H25" s="19">
        <v>1919</v>
      </c>
      <c r="I25" s="19">
        <v>872</v>
      </c>
      <c r="J25" s="19">
        <v>232</v>
      </c>
      <c r="K25" s="19">
        <v>97</v>
      </c>
      <c r="L25" s="19">
        <v>806</v>
      </c>
      <c r="M25" s="19">
        <v>62</v>
      </c>
      <c r="N25" s="19">
        <v>40</v>
      </c>
      <c r="O25" s="19">
        <f t="shared" si="0"/>
        <v>1237</v>
      </c>
      <c r="P25" s="19">
        <f t="shared" si="1"/>
        <v>1554</v>
      </c>
      <c r="Q25" t="s">
        <v>23</v>
      </c>
      <c r="R25" t="s">
        <v>55</v>
      </c>
      <c r="T25">
        <v>1</v>
      </c>
      <c r="U25" s="19">
        <v>1919</v>
      </c>
      <c r="V25">
        <v>0</v>
      </c>
      <c r="W25" s="19">
        <v>0</v>
      </c>
      <c r="X25">
        <v>0</v>
      </c>
      <c r="Y25" s="19">
        <v>0</v>
      </c>
      <c r="Z25">
        <v>0</v>
      </c>
      <c r="AA25" s="19">
        <v>0</v>
      </c>
      <c r="AB25">
        <v>0</v>
      </c>
      <c r="AC25" s="19">
        <v>0</v>
      </c>
      <c r="AD25">
        <v>0</v>
      </c>
      <c r="AE25" s="19">
        <v>0</v>
      </c>
      <c r="AF25">
        <v>0</v>
      </c>
      <c r="AG25" s="19">
        <v>0</v>
      </c>
      <c r="AH25">
        <v>1</v>
      </c>
      <c r="AI25" s="19">
        <v>244</v>
      </c>
      <c r="AJ25">
        <v>1</v>
      </c>
      <c r="AK25" s="19">
        <v>122</v>
      </c>
      <c r="AL25">
        <v>1</v>
      </c>
      <c r="AM25" s="19">
        <v>244</v>
      </c>
      <c r="AN25">
        <v>1</v>
      </c>
      <c r="AO25" s="19">
        <v>262</v>
      </c>
      <c r="AP25">
        <v>0</v>
      </c>
      <c r="AQ25" s="19">
        <v>0</v>
      </c>
    </row>
    <row r="26" spans="1:43" x14ac:dyDescent="0.35">
      <c r="A26" s="18">
        <v>45314</v>
      </c>
      <c r="B26" t="s">
        <v>56</v>
      </c>
      <c r="C26" t="s">
        <v>53</v>
      </c>
      <c r="D26">
        <v>5</v>
      </c>
      <c r="E26">
        <v>1</v>
      </c>
      <c r="F26">
        <v>4</v>
      </c>
      <c r="G26" s="19">
        <v>2764</v>
      </c>
      <c r="H26" s="19">
        <v>1900</v>
      </c>
      <c r="I26" s="19">
        <v>864</v>
      </c>
      <c r="J26" s="19">
        <v>232</v>
      </c>
      <c r="K26" s="19">
        <v>97</v>
      </c>
      <c r="L26" s="19">
        <v>806</v>
      </c>
      <c r="M26" s="19">
        <v>61</v>
      </c>
      <c r="N26" s="19">
        <v>40</v>
      </c>
      <c r="O26" s="19">
        <f t="shared" si="0"/>
        <v>1236</v>
      </c>
      <c r="P26" s="19">
        <f t="shared" si="1"/>
        <v>1528</v>
      </c>
      <c r="Q26" t="s">
        <v>23</v>
      </c>
      <c r="R26" t="s">
        <v>55</v>
      </c>
      <c r="T26">
        <v>1</v>
      </c>
      <c r="U26" s="19">
        <v>1900</v>
      </c>
      <c r="V26">
        <v>0</v>
      </c>
      <c r="W26" s="19">
        <v>0</v>
      </c>
      <c r="X26">
        <v>0</v>
      </c>
      <c r="Y26" s="19">
        <v>0</v>
      </c>
      <c r="Z26">
        <v>0</v>
      </c>
      <c r="AA26" s="19">
        <v>0</v>
      </c>
      <c r="AB26">
        <v>0</v>
      </c>
      <c r="AC26" s="19">
        <v>0</v>
      </c>
      <c r="AD26">
        <v>0</v>
      </c>
      <c r="AE26" s="19">
        <v>0</v>
      </c>
      <c r="AF26">
        <v>0</v>
      </c>
      <c r="AG26" s="19">
        <v>0</v>
      </c>
      <c r="AH26">
        <v>1</v>
      </c>
      <c r="AI26" s="19">
        <v>242</v>
      </c>
      <c r="AJ26">
        <v>1</v>
      </c>
      <c r="AK26" s="19">
        <v>121</v>
      </c>
      <c r="AL26">
        <v>1</v>
      </c>
      <c r="AM26" s="19">
        <v>242</v>
      </c>
      <c r="AN26">
        <v>1</v>
      </c>
      <c r="AO26" s="19">
        <v>259</v>
      </c>
      <c r="AP26">
        <v>0</v>
      </c>
      <c r="AQ26" s="19">
        <v>0</v>
      </c>
    </row>
    <row r="27" spans="1:43" x14ac:dyDescent="0.35">
      <c r="A27" s="18">
        <v>45315</v>
      </c>
      <c r="B27" t="s">
        <v>57</v>
      </c>
      <c r="C27" t="s">
        <v>53</v>
      </c>
      <c r="D27">
        <v>5</v>
      </c>
      <c r="E27">
        <v>1</v>
      </c>
      <c r="F27">
        <v>4</v>
      </c>
      <c r="G27" s="19">
        <v>2808</v>
      </c>
      <c r="H27" s="19">
        <v>1532</v>
      </c>
      <c r="I27" s="19">
        <v>1276</v>
      </c>
      <c r="J27" s="19">
        <v>232</v>
      </c>
      <c r="K27" s="19">
        <v>97</v>
      </c>
      <c r="L27" s="19">
        <v>806</v>
      </c>
      <c r="M27" s="19">
        <v>62</v>
      </c>
      <c r="N27" s="19">
        <v>40</v>
      </c>
      <c r="O27" s="19">
        <f t="shared" si="0"/>
        <v>1237</v>
      </c>
      <c r="P27" s="19">
        <f t="shared" si="1"/>
        <v>1571</v>
      </c>
      <c r="Q27" t="s">
        <v>27</v>
      </c>
      <c r="R27" t="s">
        <v>55</v>
      </c>
      <c r="T27">
        <v>0</v>
      </c>
      <c r="U27" s="19">
        <v>0</v>
      </c>
      <c r="V27">
        <v>0</v>
      </c>
      <c r="W27" s="19">
        <v>0</v>
      </c>
      <c r="X27">
        <v>0</v>
      </c>
      <c r="Y27" s="19">
        <v>0</v>
      </c>
      <c r="Z27">
        <v>0</v>
      </c>
      <c r="AA27" s="19">
        <v>0</v>
      </c>
      <c r="AB27">
        <v>1</v>
      </c>
      <c r="AC27" s="19">
        <v>1532</v>
      </c>
      <c r="AD27">
        <v>0</v>
      </c>
      <c r="AE27" s="19">
        <v>0</v>
      </c>
      <c r="AF27">
        <v>0</v>
      </c>
      <c r="AG27" s="19">
        <v>0</v>
      </c>
      <c r="AH27">
        <v>1</v>
      </c>
      <c r="AI27" s="19">
        <v>357</v>
      </c>
      <c r="AJ27">
        <v>1</v>
      </c>
      <c r="AK27" s="19">
        <v>179</v>
      </c>
      <c r="AL27">
        <v>1</v>
      </c>
      <c r="AM27" s="19">
        <v>357</v>
      </c>
      <c r="AN27">
        <v>1</v>
      </c>
      <c r="AO27" s="19">
        <v>383</v>
      </c>
      <c r="AP27">
        <v>0</v>
      </c>
      <c r="AQ27" s="19">
        <v>0</v>
      </c>
    </row>
    <row r="28" spans="1:43" x14ac:dyDescent="0.35">
      <c r="A28" s="18">
        <v>45316</v>
      </c>
      <c r="B28" t="s">
        <v>58</v>
      </c>
      <c r="C28" t="s">
        <v>53</v>
      </c>
      <c r="D28">
        <v>5</v>
      </c>
      <c r="E28">
        <v>1</v>
      </c>
      <c r="F28">
        <v>4</v>
      </c>
      <c r="G28" s="19">
        <v>2881</v>
      </c>
      <c r="H28" s="19">
        <v>1981</v>
      </c>
      <c r="I28" s="19">
        <v>900</v>
      </c>
      <c r="J28" s="19">
        <v>232</v>
      </c>
      <c r="K28" s="19">
        <v>97</v>
      </c>
      <c r="L28" s="19">
        <v>806</v>
      </c>
      <c r="M28" s="19">
        <v>64</v>
      </c>
      <c r="N28" s="19">
        <v>40</v>
      </c>
      <c r="O28" s="19">
        <f t="shared" si="0"/>
        <v>1239</v>
      </c>
      <c r="P28" s="19">
        <f t="shared" si="1"/>
        <v>1642</v>
      </c>
      <c r="Q28" t="s">
        <v>23</v>
      </c>
      <c r="R28" t="s">
        <v>55</v>
      </c>
      <c r="T28">
        <v>1</v>
      </c>
      <c r="U28" s="19">
        <v>1981</v>
      </c>
      <c r="V28">
        <v>0</v>
      </c>
      <c r="W28" s="19">
        <v>0</v>
      </c>
      <c r="X28">
        <v>0</v>
      </c>
      <c r="Y28" s="19">
        <v>0</v>
      </c>
      <c r="Z28">
        <v>0</v>
      </c>
      <c r="AA28" s="19">
        <v>0</v>
      </c>
      <c r="AB28">
        <v>0</v>
      </c>
      <c r="AC28" s="19">
        <v>0</v>
      </c>
      <c r="AD28">
        <v>0</v>
      </c>
      <c r="AE28" s="19">
        <v>0</v>
      </c>
      <c r="AF28">
        <v>0</v>
      </c>
      <c r="AG28" s="19">
        <v>0</v>
      </c>
      <c r="AH28">
        <v>1</v>
      </c>
      <c r="AI28" s="19">
        <v>252</v>
      </c>
      <c r="AJ28">
        <v>1</v>
      </c>
      <c r="AK28" s="19">
        <v>126</v>
      </c>
      <c r="AL28">
        <v>1</v>
      </c>
      <c r="AM28" s="19">
        <v>252</v>
      </c>
      <c r="AN28">
        <v>1</v>
      </c>
      <c r="AO28" s="19">
        <v>270</v>
      </c>
      <c r="AP28">
        <v>0</v>
      </c>
      <c r="AQ28" s="19">
        <v>0</v>
      </c>
    </row>
    <row r="29" spans="1:43" x14ac:dyDescent="0.35">
      <c r="A29" s="18">
        <v>45317</v>
      </c>
      <c r="B29" t="s">
        <v>59</v>
      </c>
      <c r="C29" t="s">
        <v>53</v>
      </c>
      <c r="D29">
        <v>6</v>
      </c>
      <c r="E29">
        <v>2</v>
      </c>
      <c r="F29">
        <v>4</v>
      </c>
      <c r="G29" s="19">
        <v>3248</v>
      </c>
      <c r="H29" s="19">
        <v>2510</v>
      </c>
      <c r="I29" s="19">
        <v>738</v>
      </c>
      <c r="J29" s="19">
        <v>232</v>
      </c>
      <c r="K29" s="19">
        <v>97</v>
      </c>
      <c r="L29" s="19">
        <v>806</v>
      </c>
      <c r="M29" s="19">
        <v>72</v>
      </c>
      <c r="N29" s="19">
        <v>49</v>
      </c>
      <c r="O29" s="19">
        <f t="shared" si="0"/>
        <v>1256</v>
      </c>
      <c r="P29" s="19">
        <f t="shared" si="1"/>
        <v>1992</v>
      </c>
      <c r="Q29" t="s">
        <v>23</v>
      </c>
      <c r="R29" t="s">
        <v>55</v>
      </c>
      <c r="T29">
        <v>1</v>
      </c>
      <c r="U29" s="19">
        <v>1624</v>
      </c>
      <c r="V29">
        <v>0</v>
      </c>
      <c r="W29" s="19">
        <v>0</v>
      </c>
      <c r="X29">
        <v>0</v>
      </c>
      <c r="Y29" s="19">
        <v>0</v>
      </c>
      <c r="Z29">
        <v>0</v>
      </c>
      <c r="AA29" s="19">
        <v>0</v>
      </c>
      <c r="AB29">
        <v>1</v>
      </c>
      <c r="AC29" s="19">
        <v>886</v>
      </c>
      <c r="AD29">
        <v>0</v>
      </c>
      <c r="AE29" s="19">
        <v>0</v>
      </c>
      <c r="AF29">
        <v>0</v>
      </c>
      <c r="AG29" s="19">
        <v>0</v>
      </c>
      <c r="AH29">
        <v>1</v>
      </c>
      <c r="AI29" s="19">
        <v>207</v>
      </c>
      <c r="AJ29">
        <v>1</v>
      </c>
      <c r="AK29" s="19">
        <v>103</v>
      </c>
      <c r="AL29">
        <v>1</v>
      </c>
      <c r="AM29" s="19">
        <v>207</v>
      </c>
      <c r="AN29">
        <v>1</v>
      </c>
      <c r="AO29" s="19">
        <v>221</v>
      </c>
      <c r="AP29">
        <v>0</v>
      </c>
      <c r="AQ29" s="19">
        <v>0</v>
      </c>
    </row>
    <row r="30" spans="1:43" x14ac:dyDescent="0.35">
      <c r="A30" s="18">
        <v>45318</v>
      </c>
      <c r="B30" t="s">
        <v>60</v>
      </c>
      <c r="C30" t="s">
        <v>61</v>
      </c>
      <c r="D30">
        <v>7</v>
      </c>
      <c r="E30">
        <v>2</v>
      </c>
      <c r="F30">
        <v>5</v>
      </c>
      <c r="G30" s="19">
        <v>3861</v>
      </c>
      <c r="H30" s="19">
        <v>2679</v>
      </c>
      <c r="I30" s="19">
        <v>1182</v>
      </c>
      <c r="J30" s="19">
        <v>232</v>
      </c>
      <c r="K30" s="19">
        <v>97</v>
      </c>
      <c r="L30" s="19">
        <v>806</v>
      </c>
      <c r="M30" s="19">
        <v>85</v>
      </c>
      <c r="N30" s="19">
        <v>57</v>
      </c>
      <c r="O30" s="19">
        <f t="shared" si="0"/>
        <v>1277</v>
      </c>
      <c r="P30" s="19">
        <f t="shared" si="1"/>
        <v>2584</v>
      </c>
      <c r="Q30" t="s">
        <v>23</v>
      </c>
      <c r="R30" t="s">
        <v>55</v>
      </c>
      <c r="T30">
        <v>1</v>
      </c>
      <c r="U30" s="19">
        <v>1734</v>
      </c>
      <c r="V30">
        <v>0</v>
      </c>
      <c r="W30" s="19">
        <v>0</v>
      </c>
      <c r="X30">
        <v>0</v>
      </c>
      <c r="Y30" s="19">
        <v>0</v>
      </c>
      <c r="Z30">
        <v>0</v>
      </c>
      <c r="AA30" s="19">
        <v>0</v>
      </c>
      <c r="AB30">
        <v>1</v>
      </c>
      <c r="AC30" s="19">
        <v>946</v>
      </c>
      <c r="AD30">
        <v>0</v>
      </c>
      <c r="AE30" s="19">
        <v>0</v>
      </c>
      <c r="AF30">
        <v>0</v>
      </c>
      <c r="AG30" s="19">
        <v>0</v>
      </c>
      <c r="AH30">
        <v>1</v>
      </c>
      <c r="AI30" s="19">
        <v>221</v>
      </c>
      <c r="AJ30">
        <v>1</v>
      </c>
      <c r="AK30" s="19">
        <v>110</v>
      </c>
      <c r="AL30">
        <v>1</v>
      </c>
      <c r="AM30" s="19">
        <v>221</v>
      </c>
      <c r="AN30">
        <v>1</v>
      </c>
      <c r="AO30" s="19">
        <v>236</v>
      </c>
      <c r="AP30">
        <v>1</v>
      </c>
      <c r="AQ30" s="19">
        <v>394</v>
      </c>
    </row>
    <row r="31" spans="1:43" x14ac:dyDescent="0.35">
      <c r="A31" s="18">
        <v>45319</v>
      </c>
      <c r="B31" t="s">
        <v>62</v>
      </c>
      <c r="C31" t="s">
        <v>61</v>
      </c>
      <c r="D31">
        <v>7</v>
      </c>
      <c r="E31">
        <v>2</v>
      </c>
      <c r="F31">
        <v>5</v>
      </c>
      <c r="G31" s="19">
        <v>3672</v>
      </c>
      <c r="H31" s="19">
        <v>2548</v>
      </c>
      <c r="I31" s="19">
        <v>1124</v>
      </c>
      <c r="J31" s="19">
        <v>232</v>
      </c>
      <c r="K31" s="19">
        <v>97</v>
      </c>
      <c r="L31" s="19">
        <v>806</v>
      </c>
      <c r="M31" s="19">
        <v>81</v>
      </c>
      <c r="N31" s="19">
        <v>57</v>
      </c>
      <c r="O31" s="19">
        <f t="shared" si="0"/>
        <v>1273</v>
      </c>
      <c r="P31" s="19">
        <f t="shared" si="1"/>
        <v>2399</v>
      </c>
      <c r="Q31" t="s">
        <v>23</v>
      </c>
      <c r="R31" t="s">
        <v>55</v>
      </c>
      <c r="T31">
        <v>1</v>
      </c>
      <c r="U31" s="19">
        <v>1649</v>
      </c>
      <c r="V31">
        <v>0</v>
      </c>
      <c r="W31" s="19">
        <v>0</v>
      </c>
      <c r="X31">
        <v>0</v>
      </c>
      <c r="Y31" s="19">
        <v>0</v>
      </c>
      <c r="Z31">
        <v>0</v>
      </c>
      <c r="AA31" s="19">
        <v>0</v>
      </c>
      <c r="AB31">
        <v>1</v>
      </c>
      <c r="AC31" s="19">
        <v>899</v>
      </c>
      <c r="AD31">
        <v>0</v>
      </c>
      <c r="AE31" s="19">
        <v>0</v>
      </c>
      <c r="AF31">
        <v>0</v>
      </c>
      <c r="AG31" s="19">
        <v>0</v>
      </c>
      <c r="AH31">
        <v>1</v>
      </c>
      <c r="AI31" s="19">
        <v>210</v>
      </c>
      <c r="AJ31">
        <v>1</v>
      </c>
      <c r="AK31" s="19">
        <v>105</v>
      </c>
      <c r="AL31">
        <v>1</v>
      </c>
      <c r="AM31" s="19">
        <v>210</v>
      </c>
      <c r="AN31">
        <v>1</v>
      </c>
      <c r="AO31" s="19">
        <v>225</v>
      </c>
      <c r="AP31">
        <v>1</v>
      </c>
      <c r="AQ31" s="19">
        <v>375</v>
      </c>
    </row>
    <row r="32" spans="1:43" x14ac:dyDescent="0.35">
      <c r="A32" s="18">
        <v>45320</v>
      </c>
      <c r="B32" t="s">
        <v>52</v>
      </c>
      <c r="C32" t="s">
        <v>53</v>
      </c>
      <c r="D32">
        <v>5</v>
      </c>
      <c r="E32">
        <v>1</v>
      </c>
      <c r="F32">
        <v>4</v>
      </c>
      <c r="G32" s="19">
        <v>2866</v>
      </c>
      <c r="H32" s="19">
        <v>1970</v>
      </c>
      <c r="I32" s="19">
        <v>896</v>
      </c>
      <c r="J32" s="19">
        <v>232</v>
      </c>
      <c r="K32" s="19">
        <v>97</v>
      </c>
      <c r="L32" s="19">
        <v>806</v>
      </c>
      <c r="M32" s="19">
        <v>63</v>
      </c>
      <c r="N32" s="19">
        <v>40</v>
      </c>
      <c r="O32" s="19">
        <f t="shared" si="0"/>
        <v>1238</v>
      </c>
      <c r="P32" s="19">
        <f t="shared" si="1"/>
        <v>1628</v>
      </c>
      <c r="Q32" t="s">
        <v>23</v>
      </c>
      <c r="R32" t="s">
        <v>55</v>
      </c>
      <c r="T32">
        <v>1</v>
      </c>
      <c r="U32" s="19">
        <v>1970</v>
      </c>
      <c r="V32">
        <v>0</v>
      </c>
      <c r="W32" s="19">
        <v>0</v>
      </c>
      <c r="X32">
        <v>0</v>
      </c>
      <c r="Y32" s="19">
        <v>0</v>
      </c>
      <c r="Z32">
        <v>0</v>
      </c>
      <c r="AA32" s="19">
        <v>0</v>
      </c>
      <c r="AB32">
        <v>0</v>
      </c>
      <c r="AC32" s="19">
        <v>0</v>
      </c>
      <c r="AD32">
        <v>0</v>
      </c>
      <c r="AE32" s="19">
        <v>0</v>
      </c>
      <c r="AF32">
        <v>0</v>
      </c>
      <c r="AG32" s="19">
        <v>0</v>
      </c>
      <c r="AH32">
        <v>1</v>
      </c>
      <c r="AI32" s="19">
        <v>251</v>
      </c>
      <c r="AJ32">
        <v>1</v>
      </c>
      <c r="AK32" s="19">
        <v>125</v>
      </c>
      <c r="AL32">
        <v>1</v>
      </c>
      <c r="AM32" s="19">
        <v>251</v>
      </c>
      <c r="AN32">
        <v>1</v>
      </c>
      <c r="AO32" s="19">
        <v>269</v>
      </c>
      <c r="AP32">
        <v>0</v>
      </c>
      <c r="AQ32" s="19">
        <v>0</v>
      </c>
    </row>
    <row r="33" spans="1:43" x14ac:dyDescent="0.35">
      <c r="A33" s="18">
        <v>45321</v>
      </c>
      <c r="B33" t="s">
        <v>56</v>
      </c>
      <c r="C33" t="s">
        <v>53</v>
      </c>
      <c r="D33">
        <v>5</v>
      </c>
      <c r="E33">
        <v>1</v>
      </c>
      <c r="F33">
        <v>4</v>
      </c>
      <c r="G33" s="19">
        <v>2815</v>
      </c>
      <c r="H33" s="19">
        <v>1935</v>
      </c>
      <c r="I33" s="19">
        <v>880</v>
      </c>
      <c r="J33" s="19">
        <v>232</v>
      </c>
      <c r="K33" s="19">
        <v>97</v>
      </c>
      <c r="L33" s="19">
        <v>806</v>
      </c>
      <c r="M33" s="19">
        <v>62</v>
      </c>
      <c r="N33" s="19">
        <v>40</v>
      </c>
      <c r="O33" s="19">
        <f t="shared" si="0"/>
        <v>1237</v>
      </c>
      <c r="P33" s="19">
        <f t="shared" si="1"/>
        <v>1578</v>
      </c>
      <c r="Q33" t="s">
        <v>23</v>
      </c>
      <c r="R33" t="s">
        <v>55</v>
      </c>
      <c r="T33">
        <v>1</v>
      </c>
      <c r="U33" s="19">
        <v>1935</v>
      </c>
      <c r="V33">
        <v>0</v>
      </c>
      <c r="W33" s="19">
        <v>0</v>
      </c>
      <c r="X33">
        <v>0</v>
      </c>
      <c r="Y33" s="19">
        <v>0</v>
      </c>
      <c r="Z33">
        <v>0</v>
      </c>
      <c r="AA33" s="19">
        <v>0</v>
      </c>
      <c r="AB33">
        <v>0</v>
      </c>
      <c r="AC33" s="19">
        <v>0</v>
      </c>
      <c r="AD33">
        <v>0</v>
      </c>
      <c r="AE33" s="19">
        <v>0</v>
      </c>
      <c r="AF33">
        <v>0</v>
      </c>
      <c r="AG33" s="19">
        <v>0</v>
      </c>
      <c r="AH33">
        <v>1</v>
      </c>
      <c r="AI33" s="19">
        <v>246</v>
      </c>
      <c r="AJ33">
        <v>1</v>
      </c>
      <c r="AK33" s="19">
        <v>123</v>
      </c>
      <c r="AL33">
        <v>1</v>
      </c>
      <c r="AM33" s="19">
        <v>246</v>
      </c>
      <c r="AN33">
        <v>1</v>
      </c>
      <c r="AO33" s="19">
        <v>264</v>
      </c>
      <c r="AP33">
        <v>0</v>
      </c>
      <c r="AQ33" s="19">
        <v>0</v>
      </c>
    </row>
    <row r="34" spans="1:43" x14ac:dyDescent="0.35">
      <c r="A34" s="18">
        <v>45322</v>
      </c>
      <c r="B34" t="s">
        <v>57</v>
      </c>
      <c r="C34" t="s">
        <v>53</v>
      </c>
      <c r="D34">
        <v>5</v>
      </c>
      <c r="E34">
        <v>1</v>
      </c>
      <c r="F34">
        <v>4</v>
      </c>
      <c r="G34" s="19">
        <v>2868</v>
      </c>
      <c r="H34" s="19">
        <v>1972</v>
      </c>
      <c r="I34" s="19">
        <v>896</v>
      </c>
      <c r="J34" s="19">
        <v>232</v>
      </c>
      <c r="K34" s="19">
        <v>97</v>
      </c>
      <c r="L34" s="19">
        <v>806</v>
      </c>
      <c r="M34" s="19">
        <v>63</v>
      </c>
      <c r="N34" s="19">
        <v>40</v>
      </c>
      <c r="O34" s="19">
        <f t="shared" si="0"/>
        <v>1238</v>
      </c>
      <c r="P34" s="19">
        <f t="shared" si="1"/>
        <v>1630</v>
      </c>
      <c r="Q34" t="s">
        <v>23</v>
      </c>
      <c r="R34" t="s">
        <v>55</v>
      </c>
      <c r="T34">
        <v>1</v>
      </c>
      <c r="U34" s="19">
        <v>1972</v>
      </c>
      <c r="V34">
        <v>0</v>
      </c>
      <c r="W34" s="19">
        <v>0</v>
      </c>
      <c r="X34">
        <v>0</v>
      </c>
      <c r="Y34" s="19">
        <v>0</v>
      </c>
      <c r="Z34">
        <v>0</v>
      </c>
      <c r="AA34" s="19">
        <v>0</v>
      </c>
      <c r="AB34">
        <v>0</v>
      </c>
      <c r="AC34" s="19">
        <v>0</v>
      </c>
      <c r="AD34">
        <v>0</v>
      </c>
      <c r="AE34" s="19">
        <v>0</v>
      </c>
      <c r="AF34">
        <v>0</v>
      </c>
      <c r="AG34" s="19">
        <v>0</v>
      </c>
      <c r="AH34">
        <v>1</v>
      </c>
      <c r="AI34" s="19">
        <v>251</v>
      </c>
      <c r="AJ34">
        <v>1</v>
      </c>
      <c r="AK34" s="19">
        <v>125</v>
      </c>
      <c r="AL34">
        <v>1</v>
      </c>
      <c r="AM34" s="19">
        <v>251</v>
      </c>
      <c r="AN34">
        <v>1</v>
      </c>
      <c r="AO34" s="19">
        <v>269</v>
      </c>
      <c r="AP34">
        <v>0</v>
      </c>
      <c r="AQ34" s="19">
        <v>0</v>
      </c>
    </row>
    <row r="35" spans="1:43" x14ac:dyDescent="0.35">
      <c r="A35" s="18">
        <v>45323</v>
      </c>
      <c r="B35" t="s">
        <v>58</v>
      </c>
      <c r="C35" t="s">
        <v>53</v>
      </c>
      <c r="D35">
        <v>8</v>
      </c>
      <c r="E35">
        <v>3</v>
      </c>
      <c r="F35">
        <v>5</v>
      </c>
      <c r="G35" s="19">
        <v>4040</v>
      </c>
      <c r="H35" s="19">
        <v>3108</v>
      </c>
      <c r="I35" s="19">
        <v>932</v>
      </c>
      <c r="J35" s="19">
        <v>252</v>
      </c>
      <c r="K35" s="19">
        <v>103</v>
      </c>
      <c r="L35" s="19">
        <v>862</v>
      </c>
      <c r="M35" s="19">
        <v>89</v>
      </c>
      <c r="N35" s="19">
        <v>65</v>
      </c>
      <c r="O35" s="19">
        <f t="shared" si="0"/>
        <v>1371</v>
      </c>
      <c r="P35" s="19">
        <f t="shared" si="1"/>
        <v>2669</v>
      </c>
      <c r="Q35" t="s">
        <v>23</v>
      </c>
      <c r="R35" t="s">
        <v>63</v>
      </c>
      <c r="T35">
        <v>1</v>
      </c>
      <c r="U35" s="19">
        <v>1367</v>
      </c>
      <c r="V35">
        <v>0</v>
      </c>
      <c r="W35" s="19">
        <v>0</v>
      </c>
      <c r="X35">
        <v>0</v>
      </c>
      <c r="Y35" s="19">
        <v>0</v>
      </c>
      <c r="Z35">
        <v>1</v>
      </c>
      <c r="AA35" s="19">
        <v>994</v>
      </c>
      <c r="AB35">
        <v>1</v>
      </c>
      <c r="AC35" s="19">
        <v>746</v>
      </c>
      <c r="AD35">
        <v>0</v>
      </c>
      <c r="AE35" s="19">
        <v>0</v>
      </c>
      <c r="AF35">
        <v>0</v>
      </c>
      <c r="AG35" s="19">
        <v>0</v>
      </c>
      <c r="AH35">
        <v>1</v>
      </c>
      <c r="AI35" s="19">
        <v>174</v>
      </c>
      <c r="AJ35">
        <v>1</v>
      </c>
      <c r="AK35" s="19">
        <v>87</v>
      </c>
      <c r="AL35">
        <v>1</v>
      </c>
      <c r="AM35" s="19">
        <v>174</v>
      </c>
      <c r="AN35">
        <v>1</v>
      </c>
      <c r="AO35" s="19">
        <v>186</v>
      </c>
      <c r="AP35">
        <v>1</v>
      </c>
      <c r="AQ35" s="19">
        <v>311</v>
      </c>
    </row>
    <row r="36" spans="1:43" x14ac:dyDescent="0.35">
      <c r="A36" s="18">
        <v>45324</v>
      </c>
      <c r="B36" t="s">
        <v>59</v>
      </c>
      <c r="C36" t="s">
        <v>53</v>
      </c>
      <c r="D36">
        <v>7</v>
      </c>
      <c r="E36">
        <v>2</v>
      </c>
      <c r="F36">
        <v>5</v>
      </c>
      <c r="G36" s="19">
        <v>3971</v>
      </c>
      <c r="H36" s="19">
        <v>2755</v>
      </c>
      <c r="I36" s="19">
        <v>1216</v>
      </c>
      <c r="J36" s="19">
        <v>252</v>
      </c>
      <c r="K36" s="19">
        <v>103</v>
      </c>
      <c r="L36" s="19">
        <v>862</v>
      </c>
      <c r="M36" s="19">
        <v>88</v>
      </c>
      <c r="N36" s="19">
        <v>57</v>
      </c>
      <c r="O36" s="19">
        <f t="shared" si="0"/>
        <v>1362</v>
      </c>
      <c r="P36" s="19">
        <f t="shared" si="1"/>
        <v>2609</v>
      </c>
      <c r="Q36" t="s">
        <v>23</v>
      </c>
      <c r="R36" t="s">
        <v>63</v>
      </c>
      <c r="T36">
        <v>1</v>
      </c>
      <c r="U36" s="19">
        <v>1783</v>
      </c>
      <c r="V36">
        <v>0</v>
      </c>
      <c r="W36" s="19">
        <v>0</v>
      </c>
      <c r="X36">
        <v>0</v>
      </c>
      <c r="Y36" s="19">
        <v>0</v>
      </c>
      <c r="Z36">
        <v>0</v>
      </c>
      <c r="AA36" s="19">
        <v>0</v>
      </c>
      <c r="AB36">
        <v>1</v>
      </c>
      <c r="AC36" s="19">
        <v>972</v>
      </c>
      <c r="AD36">
        <v>0</v>
      </c>
      <c r="AE36" s="19">
        <v>0</v>
      </c>
      <c r="AF36">
        <v>0</v>
      </c>
      <c r="AG36" s="19">
        <v>0</v>
      </c>
      <c r="AH36">
        <v>1</v>
      </c>
      <c r="AI36" s="19">
        <v>227</v>
      </c>
      <c r="AJ36">
        <v>1</v>
      </c>
      <c r="AK36" s="19">
        <v>113</v>
      </c>
      <c r="AL36">
        <v>1</v>
      </c>
      <c r="AM36" s="19">
        <v>227</v>
      </c>
      <c r="AN36">
        <v>1</v>
      </c>
      <c r="AO36" s="19">
        <v>243</v>
      </c>
      <c r="AP36">
        <v>1</v>
      </c>
      <c r="AQ36" s="19">
        <v>405</v>
      </c>
    </row>
    <row r="37" spans="1:43" x14ac:dyDescent="0.35">
      <c r="A37" s="18">
        <v>45325</v>
      </c>
      <c r="B37" t="s">
        <v>60</v>
      </c>
      <c r="C37" t="s">
        <v>61</v>
      </c>
      <c r="D37">
        <v>10</v>
      </c>
      <c r="E37">
        <v>5</v>
      </c>
      <c r="F37">
        <v>5</v>
      </c>
      <c r="G37" s="19">
        <v>5169</v>
      </c>
      <c r="H37" s="19">
        <v>4415</v>
      </c>
      <c r="I37" s="19">
        <v>754</v>
      </c>
      <c r="J37" s="19">
        <v>252</v>
      </c>
      <c r="K37" s="19">
        <v>103</v>
      </c>
      <c r="L37" s="19">
        <v>862</v>
      </c>
      <c r="M37" s="19">
        <v>114</v>
      </c>
      <c r="N37" s="19">
        <v>81</v>
      </c>
      <c r="O37" s="19">
        <f t="shared" si="0"/>
        <v>1412</v>
      </c>
      <c r="P37" s="19">
        <f t="shared" si="1"/>
        <v>3757</v>
      </c>
      <c r="Q37" t="s">
        <v>25</v>
      </c>
      <c r="R37" t="s">
        <v>63</v>
      </c>
      <c r="T37">
        <v>1</v>
      </c>
      <c r="U37" s="19">
        <v>1106</v>
      </c>
      <c r="V37">
        <v>0</v>
      </c>
      <c r="W37" s="19">
        <v>0</v>
      </c>
      <c r="X37">
        <v>1</v>
      </c>
      <c r="Y37" s="19">
        <v>1760</v>
      </c>
      <c r="Z37">
        <v>1</v>
      </c>
      <c r="AA37" s="19">
        <v>805</v>
      </c>
      <c r="AB37">
        <v>1</v>
      </c>
      <c r="AC37" s="19">
        <v>603</v>
      </c>
      <c r="AD37">
        <v>0</v>
      </c>
      <c r="AE37" s="19">
        <v>0</v>
      </c>
      <c r="AF37">
        <v>0</v>
      </c>
      <c r="AG37" s="19">
        <v>0</v>
      </c>
      <c r="AH37">
        <v>2</v>
      </c>
      <c r="AI37" s="19">
        <v>282</v>
      </c>
      <c r="AJ37">
        <v>1</v>
      </c>
      <c r="AK37" s="19">
        <v>70</v>
      </c>
      <c r="AL37">
        <v>1</v>
      </c>
      <c r="AM37" s="19">
        <v>141</v>
      </c>
      <c r="AN37">
        <v>1</v>
      </c>
      <c r="AO37" s="19">
        <v>151</v>
      </c>
      <c r="AP37">
        <v>1</v>
      </c>
      <c r="AQ37" s="19">
        <v>251</v>
      </c>
    </row>
    <row r="38" spans="1:43" x14ac:dyDescent="0.35">
      <c r="A38" s="18">
        <v>45326</v>
      </c>
      <c r="B38" t="s">
        <v>62</v>
      </c>
      <c r="C38" t="s">
        <v>61</v>
      </c>
      <c r="D38">
        <v>8</v>
      </c>
      <c r="E38">
        <v>2</v>
      </c>
      <c r="F38">
        <v>6</v>
      </c>
      <c r="G38" s="19">
        <v>4194</v>
      </c>
      <c r="H38" s="19">
        <v>2067</v>
      </c>
      <c r="I38" s="19">
        <v>2127</v>
      </c>
      <c r="J38" s="19">
        <v>252</v>
      </c>
      <c r="K38" s="19">
        <v>103</v>
      </c>
      <c r="L38" s="19">
        <v>862</v>
      </c>
      <c r="M38" s="19">
        <v>93</v>
      </c>
      <c r="N38" s="19">
        <v>65</v>
      </c>
      <c r="O38" s="19">
        <f t="shared" si="0"/>
        <v>1375</v>
      </c>
      <c r="P38" s="19">
        <f t="shared" si="1"/>
        <v>2819</v>
      </c>
      <c r="Q38" t="s">
        <v>23</v>
      </c>
      <c r="R38" t="s">
        <v>63</v>
      </c>
      <c r="T38">
        <v>1</v>
      </c>
      <c r="U38" s="19">
        <v>1337</v>
      </c>
      <c r="V38">
        <v>0</v>
      </c>
      <c r="W38" s="19">
        <v>0</v>
      </c>
      <c r="X38">
        <v>0</v>
      </c>
      <c r="Y38" s="19">
        <v>0</v>
      </c>
      <c r="Z38">
        <v>0</v>
      </c>
      <c r="AA38" s="19">
        <v>0</v>
      </c>
      <c r="AB38">
        <v>1</v>
      </c>
      <c r="AC38" s="19">
        <v>729</v>
      </c>
      <c r="AD38">
        <v>1</v>
      </c>
      <c r="AE38" s="19">
        <v>1216</v>
      </c>
      <c r="AF38">
        <v>0</v>
      </c>
      <c r="AG38" s="19">
        <v>0</v>
      </c>
      <c r="AH38">
        <v>1</v>
      </c>
      <c r="AI38" s="19">
        <v>170</v>
      </c>
      <c r="AJ38">
        <v>1</v>
      </c>
      <c r="AK38" s="19">
        <v>85</v>
      </c>
      <c r="AL38">
        <v>1</v>
      </c>
      <c r="AM38" s="19">
        <v>170</v>
      </c>
      <c r="AN38">
        <v>1</v>
      </c>
      <c r="AO38" s="19">
        <v>182</v>
      </c>
      <c r="AP38">
        <v>1</v>
      </c>
      <c r="AQ38" s="19">
        <v>304</v>
      </c>
    </row>
    <row r="39" spans="1:43" x14ac:dyDescent="0.35">
      <c r="A39" s="18">
        <v>45327</v>
      </c>
      <c r="B39" t="s">
        <v>52</v>
      </c>
      <c r="C39" t="s">
        <v>53</v>
      </c>
      <c r="D39">
        <v>6</v>
      </c>
      <c r="E39">
        <v>2</v>
      </c>
      <c r="F39">
        <v>4</v>
      </c>
      <c r="G39" s="19">
        <v>3249</v>
      </c>
      <c r="H39" s="19">
        <v>2511</v>
      </c>
      <c r="I39" s="19">
        <v>738</v>
      </c>
      <c r="J39" s="19">
        <v>252</v>
      </c>
      <c r="K39" s="19">
        <v>103</v>
      </c>
      <c r="L39" s="19">
        <v>862</v>
      </c>
      <c r="M39" s="19">
        <v>72</v>
      </c>
      <c r="N39" s="19">
        <v>49</v>
      </c>
      <c r="O39" s="19">
        <f t="shared" si="0"/>
        <v>1338</v>
      </c>
      <c r="P39" s="19">
        <f t="shared" si="1"/>
        <v>1911</v>
      </c>
      <c r="Q39" t="s">
        <v>23</v>
      </c>
      <c r="R39" t="s">
        <v>63</v>
      </c>
      <c r="T39">
        <v>1</v>
      </c>
      <c r="U39" s="19">
        <v>1624</v>
      </c>
      <c r="V39">
        <v>0</v>
      </c>
      <c r="W39" s="19">
        <v>0</v>
      </c>
      <c r="X39">
        <v>0</v>
      </c>
      <c r="Y39" s="19">
        <v>0</v>
      </c>
      <c r="Z39">
        <v>0</v>
      </c>
      <c r="AA39" s="19">
        <v>0</v>
      </c>
      <c r="AB39">
        <v>1</v>
      </c>
      <c r="AC39" s="19">
        <v>886</v>
      </c>
      <c r="AD39">
        <v>0</v>
      </c>
      <c r="AE39" s="19">
        <v>0</v>
      </c>
      <c r="AF39">
        <v>0</v>
      </c>
      <c r="AG39" s="19">
        <v>0</v>
      </c>
      <c r="AH39">
        <v>1</v>
      </c>
      <c r="AI39" s="19">
        <v>207</v>
      </c>
      <c r="AJ39">
        <v>1</v>
      </c>
      <c r="AK39" s="19">
        <v>103</v>
      </c>
      <c r="AL39">
        <v>1</v>
      </c>
      <c r="AM39" s="19">
        <v>207</v>
      </c>
      <c r="AN39">
        <v>1</v>
      </c>
      <c r="AO39" s="19">
        <v>222</v>
      </c>
      <c r="AP39">
        <v>0</v>
      </c>
      <c r="AQ39" s="19">
        <v>0</v>
      </c>
    </row>
    <row r="40" spans="1:43" x14ac:dyDescent="0.35">
      <c r="A40" s="18">
        <v>45328</v>
      </c>
      <c r="B40" t="s">
        <v>56</v>
      </c>
      <c r="C40" t="s">
        <v>53</v>
      </c>
      <c r="D40">
        <v>6</v>
      </c>
      <c r="E40">
        <v>2</v>
      </c>
      <c r="F40">
        <v>4</v>
      </c>
      <c r="G40" s="19">
        <v>3476</v>
      </c>
      <c r="H40" s="19">
        <v>2686</v>
      </c>
      <c r="I40" s="19">
        <v>790</v>
      </c>
      <c r="J40" s="19">
        <v>252</v>
      </c>
      <c r="K40" s="19">
        <v>103</v>
      </c>
      <c r="L40" s="19">
        <v>862</v>
      </c>
      <c r="M40" s="19">
        <v>77</v>
      </c>
      <c r="N40" s="19">
        <v>49</v>
      </c>
      <c r="O40" s="19">
        <f t="shared" si="0"/>
        <v>1343</v>
      </c>
      <c r="P40" s="19">
        <f t="shared" si="1"/>
        <v>2133</v>
      </c>
      <c r="Q40" t="s">
        <v>23</v>
      </c>
      <c r="R40" t="s">
        <v>63</v>
      </c>
      <c r="T40">
        <v>1</v>
      </c>
      <c r="U40" s="19">
        <v>1738</v>
      </c>
      <c r="V40">
        <v>0</v>
      </c>
      <c r="W40" s="19">
        <v>0</v>
      </c>
      <c r="X40">
        <v>0</v>
      </c>
      <c r="Y40" s="19">
        <v>0</v>
      </c>
      <c r="Z40">
        <v>0</v>
      </c>
      <c r="AA40" s="19">
        <v>0</v>
      </c>
      <c r="AB40">
        <v>1</v>
      </c>
      <c r="AC40" s="19">
        <v>948</v>
      </c>
      <c r="AD40">
        <v>0</v>
      </c>
      <c r="AE40" s="19">
        <v>0</v>
      </c>
      <c r="AF40">
        <v>0</v>
      </c>
      <c r="AG40" s="19">
        <v>0</v>
      </c>
      <c r="AH40">
        <v>1</v>
      </c>
      <c r="AI40" s="19">
        <v>221</v>
      </c>
      <c r="AJ40">
        <v>1</v>
      </c>
      <c r="AK40" s="19">
        <v>111</v>
      </c>
      <c r="AL40">
        <v>1</v>
      </c>
      <c r="AM40" s="19">
        <v>221</v>
      </c>
      <c r="AN40">
        <v>1</v>
      </c>
      <c r="AO40" s="19">
        <v>237</v>
      </c>
      <c r="AP40">
        <v>0</v>
      </c>
      <c r="AQ40" s="19">
        <v>0</v>
      </c>
    </row>
    <row r="41" spans="1:43" x14ac:dyDescent="0.35">
      <c r="A41" s="18">
        <v>45329</v>
      </c>
      <c r="B41" t="s">
        <v>57</v>
      </c>
      <c r="C41" t="s">
        <v>53</v>
      </c>
      <c r="D41">
        <v>7</v>
      </c>
      <c r="E41">
        <v>2</v>
      </c>
      <c r="F41">
        <v>5</v>
      </c>
      <c r="G41" s="19">
        <v>3827</v>
      </c>
      <c r="H41" s="19">
        <v>2655</v>
      </c>
      <c r="I41" s="19">
        <v>1172</v>
      </c>
      <c r="J41" s="19">
        <v>252</v>
      </c>
      <c r="K41" s="19">
        <v>103</v>
      </c>
      <c r="L41" s="19">
        <v>862</v>
      </c>
      <c r="M41" s="19">
        <v>84</v>
      </c>
      <c r="N41" s="19">
        <v>57</v>
      </c>
      <c r="O41" s="19">
        <f t="shared" si="0"/>
        <v>1358</v>
      </c>
      <c r="P41" s="19">
        <f t="shared" si="1"/>
        <v>2469</v>
      </c>
      <c r="Q41" t="s">
        <v>23</v>
      </c>
      <c r="R41" t="s">
        <v>63</v>
      </c>
      <c r="T41">
        <v>1</v>
      </c>
      <c r="U41" s="19">
        <v>1718</v>
      </c>
      <c r="V41">
        <v>0</v>
      </c>
      <c r="W41" s="19">
        <v>0</v>
      </c>
      <c r="X41">
        <v>0</v>
      </c>
      <c r="Y41" s="19">
        <v>0</v>
      </c>
      <c r="Z41">
        <v>0</v>
      </c>
      <c r="AA41" s="19">
        <v>0</v>
      </c>
      <c r="AB41">
        <v>1</v>
      </c>
      <c r="AC41" s="19">
        <v>937</v>
      </c>
      <c r="AD41">
        <v>0</v>
      </c>
      <c r="AE41" s="19">
        <v>0</v>
      </c>
      <c r="AF41">
        <v>0</v>
      </c>
      <c r="AG41" s="19">
        <v>0</v>
      </c>
      <c r="AH41">
        <v>1</v>
      </c>
      <c r="AI41" s="19">
        <v>219</v>
      </c>
      <c r="AJ41">
        <v>1</v>
      </c>
      <c r="AK41" s="19">
        <v>109</v>
      </c>
      <c r="AL41">
        <v>1</v>
      </c>
      <c r="AM41" s="19">
        <v>219</v>
      </c>
      <c r="AN41">
        <v>1</v>
      </c>
      <c r="AO41" s="19">
        <v>234</v>
      </c>
      <c r="AP41">
        <v>1</v>
      </c>
      <c r="AQ41" s="19">
        <v>391</v>
      </c>
    </row>
    <row r="42" spans="1:43" x14ac:dyDescent="0.35">
      <c r="A42" s="18">
        <v>45330</v>
      </c>
      <c r="B42" t="s">
        <v>58</v>
      </c>
      <c r="C42" t="s">
        <v>53</v>
      </c>
      <c r="D42">
        <v>7</v>
      </c>
      <c r="E42">
        <v>2</v>
      </c>
      <c r="F42">
        <v>5</v>
      </c>
      <c r="G42" s="19">
        <v>3807</v>
      </c>
      <c r="H42" s="19">
        <v>2642</v>
      </c>
      <c r="I42" s="19">
        <v>1165</v>
      </c>
      <c r="J42" s="19">
        <v>252</v>
      </c>
      <c r="K42" s="19">
        <v>103</v>
      </c>
      <c r="L42" s="19">
        <v>862</v>
      </c>
      <c r="M42" s="19">
        <v>84</v>
      </c>
      <c r="N42" s="19">
        <v>57</v>
      </c>
      <c r="O42" s="19">
        <f t="shared" si="0"/>
        <v>1358</v>
      </c>
      <c r="P42" s="19">
        <f t="shared" si="1"/>
        <v>2449</v>
      </c>
      <c r="Q42" t="s">
        <v>23</v>
      </c>
      <c r="R42" t="s">
        <v>63</v>
      </c>
      <c r="T42">
        <v>1</v>
      </c>
      <c r="U42" s="19">
        <v>1709</v>
      </c>
      <c r="V42">
        <v>0</v>
      </c>
      <c r="W42" s="19">
        <v>0</v>
      </c>
      <c r="X42">
        <v>0</v>
      </c>
      <c r="Y42" s="19">
        <v>0</v>
      </c>
      <c r="Z42">
        <v>0</v>
      </c>
      <c r="AA42" s="19">
        <v>0</v>
      </c>
      <c r="AB42">
        <v>1</v>
      </c>
      <c r="AC42" s="19">
        <v>932</v>
      </c>
      <c r="AD42">
        <v>0</v>
      </c>
      <c r="AE42" s="19">
        <v>0</v>
      </c>
      <c r="AF42">
        <v>0</v>
      </c>
      <c r="AG42" s="19">
        <v>0</v>
      </c>
      <c r="AH42">
        <v>1</v>
      </c>
      <c r="AI42" s="19">
        <v>218</v>
      </c>
      <c r="AJ42">
        <v>1</v>
      </c>
      <c r="AK42" s="19">
        <v>109</v>
      </c>
      <c r="AL42">
        <v>1</v>
      </c>
      <c r="AM42" s="19">
        <v>218</v>
      </c>
      <c r="AN42">
        <v>1</v>
      </c>
      <c r="AO42" s="19">
        <v>233</v>
      </c>
      <c r="AP42">
        <v>1</v>
      </c>
      <c r="AQ42" s="19">
        <v>388</v>
      </c>
    </row>
    <row r="43" spans="1:43" x14ac:dyDescent="0.35">
      <c r="A43" s="18">
        <v>45331</v>
      </c>
      <c r="B43" t="s">
        <v>59</v>
      </c>
      <c r="C43" t="s">
        <v>53</v>
      </c>
      <c r="D43">
        <v>8</v>
      </c>
      <c r="E43">
        <v>3</v>
      </c>
      <c r="F43">
        <v>5</v>
      </c>
      <c r="G43" s="19">
        <v>4113</v>
      </c>
      <c r="H43" s="19">
        <v>3164</v>
      </c>
      <c r="I43" s="19">
        <v>949</v>
      </c>
      <c r="J43" s="19">
        <v>252</v>
      </c>
      <c r="K43" s="19">
        <v>103</v>
      </c>
      <c r="L43" s="19">
        <v>862</v>
      </c>
      <c r="M43" s="19">
        <v>91</v>
      </c>
      <c r="N43" s="19">
        <v>65</v>
      </c>
      <c r="O43" s="19">
        <f t="shared" si="0"/>
        <v>1373</v>
      </c>
      <c r="P43" s="19">
        <f t="shared" si="1"/>
        <v>2740</v>
      </c>
      <c r="Q43" t="s">
        <v>23</v>
      </c>
      <c r="R43" t="s">
        <v>63</v>
      </c>
      <c r="T43">
        <v>1</v>
      </c>
      <c r="U43" s="19">
        <v>1392</v>
      </c>
      <c r="V43">
        <v>0</v>
      </c>
      <c r="W43" s="19">
        <v>0</v>
      </c>
      <c r="X43">
        <v>0</v>
      </c>
      <c r="Y43" s="19">
        <v>0</v>
      </c>
      <c r="Z43">
        <v>1</v>
      </c>
      <c r="AA43" s="19">
        <v>1012</v>
      </c>
      <c r="AB43">
        <v>1</v>
      </c>
      <c r="AC43" s="19">
        <v>759</v>
      </c>
      <c r="AD43">
        <v>0</v>
      </c>
      <c r="AE43" s="19">
        <v>0</v>
      </c>
      <c r="AF43">
        <v>0</v>
      </c>
      <c r="AG43" s="19">
        <v>0</v>
      </c>
      <c r="AH43">
        <v>1</v>
      </c>
      <c r="AI43" s="19">
        <v>177</v>
      </c>
      <c r="AJ43">
        <v>1</v>
      </c>
      <c r="AK43" s="19">
        <v>89</v>
      </c>
      <c r="AL43">
        <v>1</v>
      </c>
      <c r="AM43" s="19">
        <v>177</v>
      </c>
      <c r="AN43">
        <v>1</v>
      </c>
      <c r="AO43" s="19">
        <v>190</v>
      </c>
      <c r="AP43">
        <v>1</v>
      </c>
      <c r="AQ43" s="19">
        <v>316</v>
      </c>
    </row>
    <row r="44" spans="1:43" x14ac:dyDescent="0.35">
      <c r="A44" s="18">
        <v>45332</v>
      </c>
      <c r="B44" t="s">
        <v>60</v>
      </c>
      <c r="C44" t="s">
        <v>61</v>
      </c>
      <c r="D44">
        <v>9</v>
      </c>
      <c r="E44">
        <v>4</v>
      </c>
      <c r="F44">
        <v>5</v>
      </c>
      <c r="G44" s="19">
        <v>4621</v>
      </c>
      <c r="H44" s="19">
        <v>3599</v>
      </c>
      <c r="I44" s="19">
        <v>1022</v>
      </c>
      <c r="J44" s="19">
        <v>252</v>
      </c>
      <c r="K44" s="19">
        <v>103</v>
      </c>
      <c r="L44" s="19">
        <v>862</v>
      </c>
      <c r="M44" s="19">
        <v>102</v>
      </c>
      <c r="N44" s="19">
        <v>73</v>
      </c>
      <c r="O44" s="19">
        <f t="shared" si="0"/>
        <v>1392</v>
      </c>
      <c r="P44" s="19">
        <f t="shared" si="1"/>
        <v>3229</v>
      </c>
      <c r="Q44" t="s">
        <v>23</v>
      </c>
      <c r="R44" t="s">
        <v>63</v>
      </c>
      <c r="T44">
        <v>1</v>
      </c>
      <c r="U44" s="19">
        <v>1499</v>
      </c>
      <c r="V44">
        <v>0</v>
      </c>
      <c r="W44" s="19">
        <v>0</v>
      </c>
      <c r="X44">
        <v>0</v>
      </c>
      <c r="Y44" s="19">
        <v>0</v>
      </c>
      <c r="Z44">
        <v>1</v>
      </c>
      <c r="AA44" s="19">
        <v>1090</v>
      </c>
      <c r="AB44">
        <v>1</v>
      </c>
      <c r="AC44" s="19">
        <v>818</v>
      </c>
      <c r="AD44">
        <v>0</v>
      </c>
      <c r="AE44" s="19">
        <v>0</v>
      </c>
      <c r="AF44">
        <v>0</v>
      </c>
      <c r="AG44" s="19">
        <v>0</v>
      </c>
      <c r="AH44">
        <v>2</v>
      </c>
      <c r="AI44" s="19">
        <v>382</v>
      </c>
      <c r="AJ44">
        <v>1</v>
      </c>
      <c r="AK44" s="19">
        <v>95</v>
      </c>
      <c r="AL44">
        <v>1</v>
      </c>
      <c r="AM44" s="19">
        <v>191</v>
      </c>
      <c r="AN44">
        <v>1</v>
      </c>
      <c r="AO44" s="19">
        <v>204</v>
      </c>
      <c r="AP44">
        <v>1</v>
      </c>
      <c r="AQ44" s="19">
        <v>341</v>
      </c>
    </row>
    <row r="45" spans="1:43" x14ac:dyDescent="0.35">
      <c r="A45" s="18">
        <v>45333</v>
      </c>
      <c r="B45" t="s">
        <v>62</v>
      </c>
      <c r="C45" t="s">
        <v>61</v>
      </c>
      <c r="D45">
        <v>9</v>
      </c>
      <c r="E45">
        <v>3</v>
      </c>
      <c r="F45">
        <v>6</v>
      </c>
      <c r="G45" s="19">
        <v>4459</v>
      </c>
      <c r="H45" s="19">
        <v>2623</v>
      </c>
      <c r="I45" s="19">
        <v>1836</v>
      </c>
      <c r="J45" s="19">
        <v>252</v>
      </c>
      <c r="K45" s="19">
        <v>103</v>
      </c>
      <c r="L45" s="19">
        <v>862</v>
      </c>
      <c r="M45" s="19">
        <v>98</v>
      </c>
      <c r="N45" s="19">
        <v>73</v>
      </c>
      <c r="O45" s="19">
        <f t="shared" si="0"/>
        <v>1388</v>
      </c>
      <c r="P45" s="19">
        <f t="shared" si="1"/>
        <v>3071</v>
      </c>
      <c r="Q45" t="s">
        <v>23</v>
      </c>
      <c r="R45" t="s">
        <v>63</v>
      </c>
      <c r="T45">
        <v>1</v>
      </c>
      <c r="U45" s="19">
        <v>1154</v>
      </c>
      <c r="V45">
        <v>0</v>
      </c>
      <c r="W45" s="19">
        <v>0</v>
      </c>
      <c r="X45">
        <v>0</v>
      </c>
      <c r="Y45" s="19">
        <v>0</v>
      </c>
      <c r="Z45">
        <v>1</v>
      </c>
      <c r="AA45" s="19">
        <v>839</v>
      </c>
      <c r="AB45">
        <v>1</v>
      </c>
      <c r="AC45" s="19">
        <v>630</v>
      </c>
      <c r="AD45">
        <v>1</v>
      </c>
      <c r="AE45" s="19">
        <v>1049</v>
      </c>
      <c r="AF45">
        <v>0</v>
      </c>
      <c r="AG45" s="19">
        <v>0</v>
      </c>
      <c r="AH45">
        <v>1</v>
      </c>
      <c r="AI45" s="19">
        <v>147</v>
      </c>
      <c r="AJ45">
        <v>1</v>
      </c>
      <c r="AK45" s="19">
        <v>73</v>
      </c>
      <c r="AL45">
        <v>1</v>
      </c>
      <c r="AM45" s="19">
        <v>147</v>
      </c>
      <c r="AN45">
        <v>1</v>
      </c>
      <c r="AO45" s="19">
        <v>157</v>
      </c>
      <c r="AP45">
        <v>1</v>
      </c>
      <c r="AQ45" s="19">
        <v>262</v>
      </c>
    </row>
    <row r="46" spans="1:43" x14ac:dyDescent="0.35">
      <c r="A46" s="18">
        <v>45334</v>
      </c>
      <c r="B46" t="s">
        <v>52</v>
      </c>
      <c r="C46" t="s">
        <v>53</v>
      </c>
      <c r="D46">
        <v>6</v>
      </c>
      <c r="E46">
        <v>2</v>
      </c>
      <c r="F46">
        <v>4</v>
      </c>
      <c r="G46" s="19">
        <v>3504</v>
      </c>
      <c r="H46" s="19">
        <v>2708</v>
      </c>
      <c r="I46" s="19">
        <v>796</v>
      </c>
      <c r="J46" s="19">
        <v>252</v>
      </c>
      <c r="K46" s="19">
        <v>103</v>
      </c>
      <c r="L46" s="19">
        <v>862</v>
      </c>
      <c r="M46" s="19">
        <v>77</v>
      </c>
      <c r="N46" s="19">
        <v>49</v>
      </c>
      <c r="O46" s="19">
        <f t="shared" si="0"/>
        <v>1343</v>
      </c>
      <c r="P46" s="19">
        <f t="shared" si="1"/>
        <v>2161</v>
      </c>
      <c r="Q46" t="s">
        <v>23</v>
      </c>
      <c r="R46" t="s">
        <v>63</v>
      </c>
      <c r="T46">
        <v>1</v>
      </c>
      <c r="U46" s="19">
        <v>1752</v>
      </c>
      <c r="V46">
        <v>0</v>
      </c>
      <c r="W46" s="19">
        <v>0</v>
      </c>
      <c r="X46">
        <v>0</v>
      </c>
      <c r="Y46" s="19">
        <v>0</v>
      </c>
      <c r="Z46">
        <v>0</v>
      </c>
      <c r="AA46" s="19">
        <v>0</v>
      </c>
      <c r="AB46">
        <v>1</v>
      </c>
      <c r="AC46" s="19">
        <v>956</v>
      </c>
      <c r="AD46">
        <v>0</v>
      </c>
      <c r="AE46" s="19">
        <v>0</v>
      </c>
      <c r="AF46">
        <v>0</v>
      </c>
      <c r="AG46" s="19">
        <v>0</v>
      </c>
      <c r="AH46">
        <v>1</v>
      </c>
      <c r="AI46" s="19">
        <v>223</v>
      </c>
      <c r="AJ46">
        <v>1</v>
      </c>
      <c r="AK46" s="19">
        <v>111</v>
      </c>
      <c r="AL46">
        <v>1</v>
      </c>
      <c r="AM46" s="19">
        <v>223</v>
      </c>
      <c r="AN46">
        <v>1</v>
      </c>
      <c r="AO46" s="19">
        <v>239</v>
      </c>
      <c r="AP46">
        <v>0</v>
      </c>
      <c r="AQ46" s="19">
        <v>0</v>
      </c>
    </row>
    <row r="47" spans="1:43" x14ac:dyDescent="0.35">
      <c r="A47" s="18">
        <v>45335</v>
      </c>
      <c r="B47" t="s">
        <v>56</v>
      </c>
      <c r="C47" t="s">
        <v>53</v>
      </c>
      <c r="D47">
        <v>7</v>
      </c>
      <c r="E47">
        <v>3</v>
      </c>
      <c r="F47">
        <v>4</v>
      </c>
      <c r="G47" s="19">
        <v>3421</v>
      </c>
      <c r="H47" s="19">
        <v>2851</v>
      </c>
      <c r="I47" s="19">
        <v>570</v>
      </c>
      <c r="J47" s="19">
        <v>252</v>
      </c>
      <c r="K47" s="19">
        <v>103</v>
      </c>
      <c r="L47" s="19">
        <v>862</v>
      </c>
      <c r="M47" s="19">
        <v>75</v>
      </c>
      <c r="N47" s="19">
        <v>57</v>
      </c>
      <c r="O47" s="19">
        <f t="shared" si="0"/>
        <v>1349</v>
      </c>
      <c r="P47" s="19">
        <f t="shared" si="1"/>
        <v>2072</v>
      </c>
      <c r="Q47" t="s">
        <v>23</v>
      </c>
      <c r="R47" t="s">
        <v>63</v>
      </c>
      <c r="T47">
        <v>1</v>
      </c>
      <c r="U47" s="19">
        <v>1254</v>
      </c>
      <c r="V47">
        <v>0</v>
      </c>
      <c r="W47" s="19">
        <v>0</v>
      </c>
      <c r="X47">
        <v>0</v>
      </c>
      <c r="Y47" s="19">
        <v>0</v>
      </c>
      <c r="Z47">
        <v>1</v>
      </c>
      <c r="AA47" s="19">
        <v>912</v>
      </c>
      <c r="AB47">
        <v>1</v>
      </c>
      <c r="AC47" s="19">
        <v>684</v>
      </c>
      <c r="AD47">
        <v>0</v>
      </c>
      <c r="AE47" s="19">
        <v>0</v>
      </c>
      <c r="AF47">
        <v>0</v>
      </c>
      <c r="AG47" s="19">
        <v>0</v>
      </c>
      <c r="AH47">
        <v>1</v>
      </c>
      <c r="AI47" s="19">
        <v>160</v>
      </c>
      <c r="AJ47">
        <v>1</v>
      </c>
      <c r="AK47" s="19">
        <v>80</v>
      </c>
      <c r="AL47">
        <v>1</v>
      </c>
      <c r="AM47" s="19">
        <v>160</v>
      </c>
      <c r="AN47">
        <v>1</v>
      </c>
      <c r="AO47" s="19">
        <v>171</v>
      </c>
      <c r="AP47">
        <v>0</v>
      </c>
      <c r="AQ47" s="19">
        <v>0</v>
      </c>
    </row>
    <row r="48" spans="1:43" x14ac:dyDescent="0.35">
      <c r="A48" s="18">
        <v>45336</v>
      </c>
      <c r="B48" t="s">
        <v>57</v>
      </c>
      <c r="C48" t="s">
        <v>53</v>
      </c>
      <c r="D48">
        <v>10</v>
      </c>
      <c r="E48">
        <v>5</v>
      </c>
      <c r="F48">
        <v>5</v>
      </c>
      <c r="G48" s="19">
        <v>5508</v>
      </c>
      <c r="H48" s="19">
        <v>4314</v>
      </c>
      <c r="I48" s="19">
        <v>1194</v>
      </c>
      <c r="J48" s="19">
        <v>252</v>
      </c>
      <c r="K48" s="19">
        <v>103</v>
      </c>
      <c r="L48" s="19">
        <v>862</v>
      </c>
      <c r="M48" s="19">
        <v>121</v>
      </c>
      <c r="N48" s="19">
        <v>81</v>
      </c>
      <c r="O48" s="19">
        <f t="shared" si="0"/>
        <v>1419</v>
      </c>
      <c r="P48" s="19">
        <f t="shared" si="1"/>
        <v>4089</v>
      </c>
      <c r="Q48" t="s">
        <v>23</v>
      </c>
      <c r="R48" t="s">
        <v>63</v>
      </c>
      <c r="T48">
        <v>1</v>
      </c>
      <c r="U48" s="19">
        <v>1751</v>
      </c>
      <c r="V48">
        <v>0</v>
      </c>
      <c r="W48" s="19">
        <v>0</v>
      </c>
      <c r="X48">
        <v>0</v>
      </c>
      <c r="Y48" s="19">
        <v>0</v>
      </c>
      <c r="Z48">
        <v>1</v>
      </c>
      <c r="AA48" s="19">
        <v>1274</v>
      </c>
      <c r="AB48">
        <v>1</v>
      </c>
      <c r="AC48" s="19">
        <v>955</v>
      </c>
      <c r="AD48">
        <v>0</v>
      </c>
      <c r="AE48" s="19">
        <v>0</v>
      </c>
      <c r="AF48">
        <v>0</v>
      </c>
      <c r="AG48" s="19">
        <v>0</v>
      </c>
      <c r="AH48">
        <v>2</v>
      </c>
      <c r="AI48" s="19">
        <v>446</v>
      </c>
      <c r="AJ48">
        <v>2</v>
      </c>
      <c r="AK48" s="19">
        <v>223</v>
      </c>
      <c r="AL48">
        <v>1</v>
      </c>
      <c r="AM48" s="19">
        <v>223</v>
      </c>
      <c r="AN48">
        <v>1</v>
      </c>
      <c r="AO48" s="19">
        <v>239</v>
      </c>
      <c r="AP48">
        <v>1</v>
      </c>
      <c r="AQ48" s="19">
        <v>398</v>
      </c>
    </row>
    <row r="49" spans="1:43" x14ac:dyDescent="0.35">
      <c r="A49" s="18">
        <v>45337</v>
      </c>
      <c r="B49" t="s">
        <v>58</v>
      </c>
      <c r="C49" t="s">
        <v>53</v>
      </c>
      <c r="D49">
        <v>7</v>
      </c>
      <c r="E49">
        <v>2</v>
      </c>
      <c r="F49">
        <v>5</v>
      </c>
      <c r="G49" s="19">
        <v>3439</v>
      </c>
      <c r="H49" s="19">
        <v>2386</v>
      </c>
      <c r="I49" s="19">
        <v>1053</v>
      </c>
      <c r="J49" s="19">
        <v>252</v>
      </c>
      <c r="K49" s="19">
        <v>103</v>
      </c>
      <c r="L49" s="19">
        <v>862</v>
      </c>
      <c r="M49" s="19">
        <v>76</v>
      </c>
      <c r="N49" s="19">
        <v>57</v>
      </c>
      <c r="O49" s="19">
        <f t="shared" si="0"/>
        <v>1350</v>
      </c>
      <c r="P49" s="19">
        <f t="shared" si="1"/>
        <v>2089</v>
      </c>
      <c r="Q49" t="s">
        <v>23</v>
      </c>
      <c r="R49" t="s">
        <v>63</v>
      </c>
      <c r="T49">
        <v>1</v>
      </c>
      <c r="U49" s="19">
        <v>1544</v>
      </c>
      <c r="V49">
        <v>0</v>
      </c>
      <c r="W49" s="19">
        <v>0</v>
      </c>
      <c r="X49">
        <v>0</v>
      </c>
      <c r="Y49" s="19">
        <v>0</v>
      </c>
      <c r="Z49">
        <v>0</v>
      </c>
      <c r="AA49" s="19">
        <v>0</v>
      </c>
      <c r="AB49">
        <v>1</v>
      </c>
      <c r="AC49" s="19">
        <v>842</v>
      </c>
      <c r="AD49">
        <v>0</v>
      </c>
      <c r="AE49" s="19">
        <v>0</v>
      </c>
      <c r="AF49">
        <v>0</v>
      </c>
      <c r="AG49" s="19">
        <v>0</v>
      </c>
      <c r="AH49">
        <v>1</v>
      </c>
      <c r="AI49" s="19">
        <v>197</v>
      </c>
      <c r="AJ49">
        <v>1</v>
      </c>
      <c r="AK49" s="19">
        <v>98</v>
      </c>
      <c r="AL49">
        <v>1</v>
      </c>
      <c r="AM49" s="19">
        <v>197</v>
      </c>
      <c r="AN49">
        <v>1</v>
      </c>
      <c r="AO49" s="19">
        <v>211</v>
      </c>
      <c r="AP49">
        <v>1</v>
      </c>
      <c r="AQ49" s="19">
        <v>351</v>
      </c>
    </row>
    <row r="50" spans="1:43" x14ac:dyDescent="0.35">
      <c r="A50" s="18">
        <v>45338</v>
      </c>
      <c r="B50" t="s">
        <v>59</v>
      </c>
      <c r="C50" t="s">
        <v>53</v>
      </c>
      <c r="D50">
        <v>7</v>
      </c>
      <c r="E50">
        <v>2</v>
      </c>
      <c r="F50">
        <v>5</v>
      </c>
      <c r="G50" s="19">
        <v>3712</v>
      </c>
      <c r="H50" s="19">
        <v>2576</v>
      </c>
      <c r="I50" s="19">
        <v>1136</v>
      </c>
      <c r="J50" s="19">
        <v>252</v>
      </c>
      <c r="K50" s="19">
        <v>103</v>
      </c>
      <c r="L50" s="19">
        <v>862</v>
      </c>
      <c r="M50" s="19">
        <v>82</v>
      </c>
      <c r="N50" s="19">
        <v>57</v>
      </c>
      <c r="O50" s="19">
        <f t="shared" si="0"/>
        <v>1356</v>
      </c>
      <c r="P50" s="19">
        <f t="shared" si="1"/>
        <v>2356</v>
      </c>
      <c r="Q50" t="s">
        <v>23</v>
      </c>
      <c r="R50" t="s">
        <v>63</v>
      </c>
      <c r="T50">
        <v>1</v>
      </c>
      <c r="U50" s="19">
        <v>1667</v>
      </c>
      <c r="V50">
        <v>0</v>
      </c>
      <c r="W50" s="19">
        <v>0</v>
      </c>
      <c r="X50">
        <v>0</v>
      </c>
      <c r="Y50" s="19">
        <v>0</v>
      </c>
      <c r="Z50">
        <v>0</v>
      </c>
      <c r="AA50" s="19">
        <v>0</v>
      </c>
      <c r="AB50">
        <v>1</v>
      </c>
      <c r="AC50" s="19">
        <v>909</v>
      </c>
      <c r="AD50">
        <v>0</v>
      </c>
      <c r="AE50" s="19">
        <v>0</v>
      </c>
      <c r="AF50">
        <v>0</v>
      </c>
      <c r="AG50" s="19">
        <v>0</v>
      </c>
      <c r="AH50">
        <v>1</v>
      </c>
      <c r="AI50" s="19">
        <v>212</v>
      </c>
      <c r="AJ50">
        <v>1</v>
      </c>
      <c r="AK50" s="19">
        <v>106</v>
      </c>
      <c r="AL50">
        <v>1</v>
      </c>
      <c r="AM50" s="19">
        <v>212</v>
      </c>
      <c r="AN50">
        <v>1</v>
      </c>
      <c r="AO50" s="19">
        <v>227</v>
      </c>
      <c r="AP50">
        <v>1</v>
      </c>
      <c r="AQ50" s="19">
        <v>379</v>
      </c>
    </row>
    <row r="51" spans="1:43" x14ac:dyDescent="0.35">
      <c r="A51" s="18">
        <v>45339</v>
      </c>
      <c r="B51" t="s">
        <v>60</v>
      </c>
      <c r="C51" t="s">
        <v>61</v>
      </c>
      <c r="D51">
        <v>9</v>
      </c>
      <c r="E51">
        <v>4</v>
      </c>
      <c r="F51">
        <v>5</v>
      </c>
      <c r="G51" s="19">
        <v>5027</v>
      </c>
      <c r="H51" s="19">
        <v>4273</v>
      </c>
      <c r="I51" s="19">
        <v>754</v>
      </c>
      <c r="J51" s="19">
        <v>252</v>
      </c>
      <c r="K51" s="19">
        <v>103</v>
      </c>
      <c r="L51" s="19">
        <v>862</v>
      </c>
      <c r="M51" s="19">
        <v>111</v>
      </c>
      <c r="N51" s="19">
        <v>73</v>
      </c>
      <c r="O51" s="19">
        <f t="shared" si="0"/>
        <v>1401</v>
      </c>
      <c r="P51" s="19">
        <f t="shared" si="1"/>
        <v>3626</v>
      </c>
      <c r="Q51" t="s">
        <v>25</v>
      </c>
      <c r="R51" t="s">
        <v>63</v>
      </c>
      <c r="T51">
        <v>1</v>
      </c>
      <c r="U51" s="19">
        <v>1106</v>
      </c>
      <c r="V51">
        <v>0</v>
      </c>
      <c r="W51" s="19">
        <v>0</v>
      </c>
      <c r="X51">
        <v>1</v>
      </c>
      <c r="Y51" s="19">
        <v>1759</v>
      </c>
      <c r="Z51">
        <v>1</v>
      </c>
      <c r="AA51" s="19">
        <v>804</v>
      </c>
      <c r="AB51">
        <v>1</v>
      </c>
      <c r="AC51" s="19">
        <v>603</v>
      </c>
      <c r="AD51">
        <v>0</v>
      </c>
      <c r="AE51" s="19">
        <v>0</v>
      </c>
      <c r="AF51">
        <v>0</v>
      </c>
      <c r="AG51" s="19">
        <v>0</v>
      </c>
      <c r="AH51">
        <v>1</v>
      </c>
      <c r="AI51" s="19">
        <v>141</v>
      </c>
      <c r="AJ51">
        <v>1</v>
      </c>
      <c r="AK51" s="19">
        <v>70</v>
      </c>
      <c r="AL51">
        <v>1</v>
      </c>
      <c r="AM51" s="19">
        <v>141</v>
      </c>
      <c r="AN51">
        <v>1</v>
      </c>
      <c r="AO51" s="19">
        <v>151</v>
      </c>
      <c r="AP51">
        <v>1</v>
      </c>
      <c r="AQ51" s="19">
        <v>251</v>
      </c>
    </row>
    <row r="52" spans="1:43" x14ac:dyDescent="0.35">
      <c r="A52" s="18">
        <v>45340</v>
      </c>
      <c r="B52" t="s">
        <v>62</v>
      </c>
      <c r="C52" t="s">
        <v>61</v>
      </c>
      <c r="D52">
        <v>8</v>
      </c>
      <c r="E52">
        <v>3</v>
      </c>
      <c r="F52">
        <v>5</v>
      </c>
      <c r="G52" s="19">
        <v>4181</v>
      </c>
      <c r="H52" s="19">
        <v>3216</v>
      </c>
      <c r="I52" s="19">
        <v>965</v>
      </c>
      <c r="J52" s="19">
        <v>252</v>
      </c>
      <c r="K52" s="19">
        <v>103</v>
      </c>
      <c r="L52" s="19">
        <v>862</v>
      </c>
      <c r="M52" s="19">
        <v>92</v>
      </c>
      <c r="N52" s="19">
        <v>65</v>
      </c>
      <c r="O52" s="19">
        <f t="shared" si="0"/>
        <v>1374</v>
      </c>
      <c r="P52" s="19">
        <f t="shared" si="1"/>
        <v>2807</v>
      </c>
      <c r="Q52" t="s">
        <v>23</v>
      </c>
      <c r="R52" t="s">
        <v>63</v>
      </c>
      <c r="T52">
        <v>1</v>
      </c>
      <c r="U52" s="19">
        <v>1415</v>
      </c>
      <c r="V52">
        <v>0</v>
      </c>
      <c r="W52" s="19">
        <v>0</v>
      </c>
      <c r="X52">
        <v>0</v>
      </c>
      <c r="Y52" s="19">
        <v>0</v>
      </c>
      <c r="Z52">
        <v>1</v>
      </c>
      <c r="AA52" s="19">
        <v>1029</v>
      </c>
      <c r="AB52">
        <v>1</v>
      </c>
      <c r="AC52" s="19">
        <v>772</v>
      </c>
      <c r="AD52">
        <v>0</v>
      </c>
      <c r="AE52" s="19">
        <v>0</v>
      </c>
      <c r="AF52">
        <v>0</v>
      </c>
      <c r="AG52" s="19">
        <v>0</v>
      </c>
      <c r="AH52">
        <v>1</v>
      </c>
      <c r="AI52" s="19">
        <v>180</v>
      </c>
      <c r="AJ52">
        <v>1</v>
      </c>
      <c r="AK52" s="19">
        <v>90</v>
      </c>
      <c r="AL52">
        <v>1</v>
      </c>
      <c r="AM52" s="19">
        <v>180</v>
      </c>
      <c r="AN52">
        <v>1</v>
      </c>
      <c r="AO52" s="19">
        <v>193</v>
      </c>
      <c r="AP52">
        <v>1</v>
      </c>
      <c r="AQ52" s="19">
        <v>322</v>
      </c>
    </row>
    <row r="53" spans="1:43" x14ac:dyDescent="0.35">
      <c r="A53" s="18">
        <v>45341</v>
      </c>
      <c r="B53" t="s">
        <v>52</v>
      </c>
      <c r="C53" t="s">
        <v>53</v>
      </c>
      <c r="D53">
        <v>7</v>
      </c>
      <c r="E53">
        <v>2</v>
      </c>
      <c r="F53">
        <v>5</v>
      </c>
      <c r="G53" s="19">
        <v>3623</v>
      </c>
      <c r="H53" s="19">
        <v>2514</v>
      </c>
      <c r="I53" s="19">
        <v>1109</v>
      </c>
      <c r="J53" s="19">
        <v>252</v>
      </c>
      <c r="K53" s="19">
        <v>103</v>
      </c>
      <c r="L53" s="19">
        <v>862</v>
      </c>
      <c r="M53" s="19">
        <v>80</v>
      </c>
      <c r="N53" s="19">
        <v>57</v>
      </c>
      <c r="O53" s="19">
        <f t="shared" si="0"/>
        <v>1354</v>
      </c>
      <c r="P53" s="19">
        <f t="shared" si="1"/>
        <v>2269</v>
      </c>
      <c r="Q53" t="s">
        <v>23</v>
      </c>
      <c r="R53" t="s">
        <v>63</v>
      </c>
      <c r="T53">
        <v>1</v>
      </c>
      <c r="U53" s="19">
        <v>1627</v>
      </c>
      <c r="V53">
        <v>0</v>
      </c>
      <c r="W53" s="19">
        <v>0</v>
      </c>
      <c r="X53">
        <v>0</v>
      </c>
      <c r="Y53" s="19">
        <v>0</v>
      </c>
      <c r="Z53">
        <v>0</v>
      </c>
      <c r="AA53" s="19">
        <v>0</v>
      </c>
      <c r="AB53">
        <v>1</v>
      </c>
      <c r="AC53" s="19">
        <v>887</v>
      </c>
      <c r="AD53">
        <v>0</v>
      </c>
      <c r="AE53" s="19">
        <v>0</v>
      </c>
      <c r="AF53">
        <v>0</v>
      </c>
      <c r="AG53" s="19">
        <v>0</v>
      </c>
      <c r="AH53">
        <v>1</v>
      </c>
      <c r="AI53" s="19">
        <v>207</v>
      </c>
      <c r="AJ53">
        <v>1</v>
      </c>
      <c r="AK53" s="19">
        <v>104</v>
      </c>
      <c r="AL53">
        <v>1</v>
      </c>
      <c r="AM53" s="19">
        <v>207</v>
      </c>
      <c r="AN53">
        <v>1</v>
      </c>
      <c r="AO53" s="19">
        <v>222</v>
      </c>
      <c r="AP53">
        <v>1</v>
      </c>
      <c r="AQ53" s="19">
        <v>370</v>
      </c>
    </row>
    <row r="54" spans="1:43" x14ac:dyDescent="0.35">
      <c r="A54" s="18">
        <v>45342</v>
      </c>
      <c r="B54" t="s">
        <v>56</v>
      </c>
      <c r="C54" t="s">
        <v>53</v>
      </c>
      <c r="D54">
        <v>7</v>
      </c>
      <c r="E54">
        <v>2</v>
      </c>
      <c r="F54">
        <v>5</v>
      </c>
      <c r="G54" s="19">
        <v>3843</v>
      </c>
      <c r="H54" s="19">
        <v>2755</v>
      </c>
      <c r="I54" s="19">
        <v>1088</v>
      </c>
      <c r="J54" s="19">
        <v>252</v>
      </c>
      <c r="K54" s="19">
        <v>103</v>
      </c>
      <c r="L54" s="19">
        <v>862</v>
      </c>
      <c r="M54" s="19">
        <v>85</v>
      </c>
      <c r="N54" s="19">
        <v>57</v>
      </c>
      <c r="O54" s="19">
        <f t="shared" si="0"/>
        <v>1359</v>
      </c>
      <c r="P54" s="19">
        <f t="shared" si="1"/>
        <v>2484</v>
      </c>
      <c r="Q54" t="s">
        <v>23</v>
      </c>
      <c r="R54" t="s">
        <v>63</v>
      </c>
      <c r="T54">
        <v>1</v>
      </c>
      <c r="U54" s="19">
        <v>1595</v>
      </c>
      <c r="V54">
        <v>0</v>
      </c>
      <c r="W54" s="19">
        <v>0</v>
      </c>
      <c r="X54">
        <v>0</v>
      </c>
      <c r="Y54" s="19">
        <v>0</v>
      </c>
      <c r="Z54">
        <v>1</v>
      </c>
      <c r="AA54" s="19">
        <v>1160</v>
      </c>
      <c r="AB54">
        <v>0</v>
      </c>
      <c r="AC54" s="19">
        <v>0</v>
      </c>
      <c r="AD54">
        <v>0</v>
      </c>
      <c r="AE54" s="19">
        <v>0</v>
      </c>
      <c r="AF54">
        <v>0</v>
      </c>
      <c r="AG54" s="19">
        <v>0</v>
      </c>
      <c r="AH54">
        <v>1</v>
      </c>
      <c r="AI54" s="19">
        <v>203</v>
      </c>
      <c r="AJ54">
        <v>1</v>
      </c>
      <c r="AK54" s="19">
        <v>102</v>
      </c>
      <c r="AL54">
        <v>1</v>
      </c>
      <c r="AM54" s="19">
        <v>203</v>
      </c>
      <c r="AN54">
        <v>1</v>
      </c>
      <c r="AO54" s="19">
        <v>218</v>
      </c>
      <c r="AP54">
        <v>1</v>
      </c>
      <c r="AQ54" s="19">
        <v>363</v>
      </c>
    </row>
    <row r="55" spans="1:43" x14ac:dyDescent="0.35">
      <c r="A55" s="18">
        <v>45343</v>
      </c>
      <c r="B55" t="s">
        <v>57</v>
      </c>
      <c r="C55" t="s">
        <v>53</v>
      </c>
      <c r="D55">
        <v>6</v>
      </c>
      <c r="E55">
        <v>1</v>
      </c>
      <c r="F55">
        <v>5</v>
      </c>
      <c r="G55" s="19">
        <v>3470</v>
      </c>
      <c r="H55" s="19">
        <v>1542</v>
      </c>
      <c r="I55" s="19">
        <v>1928</v>
      </c>
      <c r="J55" s="19">
        <v>252</v>
      </c>
      <c r="K55" s="19">
        <v>103</v>
      </c>
      <c r="L55" s="19">
        <v>862</v>
      </c>
      <c r="M55" s="19">
        <v>77</v>
      </c>
      <c r="N55" s="19">
        <v>49</v>
      </c>
      <c r="O55" s="19">
        <f t="shared" si="0"/>
        <v>1343</v>
      </c>
      <c r="P55" s="19">
        <f t="shared" si="1"/>
        <v>2127</v>
      </c>
      <c r="Q55" t="s">
        <v>27</v>
      </c>
      <c r="R55" t="s">
        <v>63</v>
      </c>
      <c r="T55">
        <v>0</v>
      </c>
      <c r="U55" s="19">
        <v>0</v>
      </c>
      <c r="V55">
        <v>0</v>
      </c>
      <c r="W55" s="19">
        <v>0</v>
      </c>
      <c r="X55">
        <v>0</v>
      </c>
      <c r="Y55" s="19">
        <v>0</v>
      </c>
      <c r="Z55">
        <v>0</v>
      </c>
      <c r="AA55" s="19">
        <v>0</v>
      </c>
      <c r="AB55">
        <v>1</v>
      </c>
      <c r="AC55" s="19">
        <v>1542</v>
      </c>
      <c r="AD55">
        <v>0</v>
      </c>
      <c r="AE55" s="19">
        <v>0</v>
      </c>
      <c r="AF55">
        <v>0</v>
      </c>
      <c r="AG55" s="19">
        <v>0</v>
      </c>
      <c r="AH55">
        <v>1</v>
      </c>
      <c r="AI55" s="19">
        <v>360</v>
      </c>
      <c r="AJ55">
        <v>1</v>
      </c>
      <c r="AK55" s="19">
        <v>180</v>
      </c>
      <c r="AL55">
        <v>1</v>
      </c>
      <c r="AM55" s="19">
        <v>360</v>
      </c>
      <c r="AN55">
        <v>1</v>
      </c>
      <c r="AO55" s="19">
        <v>386</v>
      </c>
      <c r="AP55">
        <v>1</v>
      </c>
      <c r="AQ55" s="19">
        <v>643</v>
      </c>
    </row>
    <row r="56" spans="1:43" x14ac:dyDescent="0.35">
      <c r="A56" s="18">
        <v>45344</v>
      </c>
      <c r="B56" t="s">
        <v>58</v>
      </c>
      <c r="C56" t="s">
        <v>53</v>
      </c>
      <c r="D56">
        <v>7</v>
      </c>
      <c r="E56">
        <v>2</v>
      </c>
      <c r="F56">
        <v>5</v>
      </c>
      <c r="G56" s="19">
        <v>3853</v>
      </c>
      <c r="H56" s="19">
        <v>2674</v>
      </c>
      <c r="I56" s="19">
        <v>1179</v>
      </c>
      <c r="J56" s="19">
        <v>252</v>
      </c>
      <c r="K56" s="19">
        <v>103</v>
      </c>
      <c r="L56" s="19">
        <v>862</v>
      </c>
      <c r="M56" s="19">
        <v>85</v>
      </c>
      <c r="N56" s="19">
        <v>57</v>
      </c>
      <c r="O56" s="19">
        <f t="shared" si="0"/>
        <v>1359</v>
      </c>
      <c r="P56" s="19">
        <f t="shared" si="1"/>
        <v>2494</v>
      </c>
      <c r="Q56" t="s">
        <v>23</v>
      </c>
      <c r="R56" t="s">
        <v>63</v>
      </c>
      <c r="T56">
        <v>1</v>
      </c>
      <c r="U56" s="19">
        <v>1730</v>
      </c>
      <c r="V56">
        <v>0</v>
      </c>
      <c r="W56" s="19">
        <v>0</v>
      </c>
      <c r="X56">
        <v>0</v>
      </c>
      <c r="Y56" s="19">
        <v>0</v>
      </c>
      <c r="Z56">
        <v>0</v>
      </c>
      <c r="AA56" s="19">
        <v>0</v>
      </c>
      <c r="AB56">
        <v>1</v>
      </c>
      <c r="AC56" s="19">
        <v>944</v>
      </c>
      <c r="AD56">
        <v>0</v>
      </c>
      <c r="AE56" s="19">
        <v>0</v>
      </c>
      <c r="AF56">
        <v>0</v>
      </c>
      <c r="AG56" s="19">
        <v>0</v>
      </c>
      <c r="AH56">
        <v>1</v>
      </c>
      <c r="AI56" s="19">
        <v>220</v>
      </c>
      <c r="AJ56">
        <v>1</v>
      </c>
      <c r="AK56" s="19">
        <v>110</v>
      </c>
      <c r="AL56">
        <v>1</v>
      </c>
      <c r="AM56" s="19">
        <v>220</v>
      </c>
      <c r="AN56">
        <v>1</v>
      </c>
      <c r="AO56" s="19">
        <v>236</v>
      </c>
      <c r="AP56">
        <v>1</v>
      </c>
      <c r="AQ56" s="19">
        <v>393</v>
      </c>
    </row>
    <row r="57" spans="1:43" x14ac:dyDescent="0.35">
      <c r="A57" s="18">
        <v>45345</v>
      </c>
      <c r="B57" t="s">
        <v>59</v>
      </c>
      <c r="C57" t="s">
        <v>53</v>
      </c>
      <c r="D57">
        <v>7</v>
      </c>
      <c r="E57">
        <v>2</v>
      </c>
      <c r="F57">
        <v>5</v>
      </c>
      <c r="G57" s="19">
        <v>3801</v>
      </c>
      <c r="H57" s="19">
        <v>2637</v>
      </c>
      <c r="I57" s="19">
        <v>1164</v>
      </c>
      <c r="J57" s="19">
        <v>252</v>
      </c>
      <c r="K57" s="19">
        <v>103</v>
      </c>
      <c r="L57" s="19">
        <v>862</v>
      </c>
      <c r="M57" s="19">
        <v>84</v>
      </c>
      <c r="N57" s="19">
        <v>57</v>
      </c>
      <c r="O57" s="19">
        <f t="shared" si="0"/>
        <v>1358</v>
      </c>
      <c r="P57" s="19">
        <f t="shared" si="1"/>
        <v>2443</v>
      </c>
      <c r="Q57" t="s">
        <v>23</v>
      </c>
      <c r="R57" t="s">
        <v>63</v>
      </c>
      <c r="T57">
        <v>1</v>
      </c>
      <c r="U57" s="19">
        <v>1707</v>
      </c>
      <c r="V57">
        <v>0</v>
      </c>
      <c r="W57" s="19">
        <v>0</v>
      </c>
      <c r="X57">
        <v>0</v>
      </c>
      <c r="Y57" s="19">
        <v>0</v>
      </c>
      <c r="Z57">
        <v>0</v>
      </c>
      <c r="AA57" s="19">
        <v>0</v>
      </c>
      <c r="AB57">
        <v>1</v>
      </c>
      <c r="AC57" s="19">
        <v>931</v>
      </c>
      <c r="AD57">
        <v>0</v>
      </c>
      <c r="AE57" s="19">
        <v>0</v>
      </c>
      <c r="AF57">
        <v>0</v>
      </c>
      <c r="AG57" s="19">
        <v>0</v>
      </c>
      <c r="AH57">
        <v>1</v>
      </c>
      <c r="AI57" s="19">
        <v>217</v>
      </c>
      <c r="AJ57">
        <v>1</v>
      </c>
      <c r="AK57" s="19">
        <v>109</v>
      </c>
      <c r="AL57">
        <v>1</v>
      </c>
      <c r="AM57" s="19">
        <v>217</v>
      </c>
      <c r="AN57">
        <v>1</v>
      </c>
      <c r="AO57" s="19">
        <v>233</v>
      </c>
      <c r="AP57">
        <v>1</v>
      </c>
      <c r="AQ57" s="19">
        <v>388</v>
      </c>
    </row>
    <row r="58" spans="1:43" x14ac:dyDescent="0.35">
      <c r="A58" s="18">
        <v>45346</v>
      </c>
      <c r="B58" t="s">
        <v>60</v>
      </c>
      <c r="C58" t="s">
        <v>61</v>
      </c>
      <c r="D58">
        <v>9</v>
      </c>
      <c r="E58">
        <v>4</v>
      </c>
      <c r="F58">
        <v>5</v>
      </c>
      <c r="G58" s="19">
        <v>4571</v>
      </c>
      <c r="H58" s="19">
        <v>3560</v>
      </c>
      <c r="I58" s="19">
        <v>1011</v>
      </c>
      <c r="J58" s="19">
        <v>252</v>
      </c>
      <c r="K58" s="19">
        <v>103</v>
      </c>
      <c r="L58" s="19">
        <v>862</v>
      </c>
      <c r="M58" s="19">
        <v>101</v>
      </c>
      <c r="N58" s="19">
        <v>73</v>
      </c>
      <c r="O58" s="19">
        <f t="shared" si="0"/>
        <v>1391</v>
      </c>
      <c r="P58" s="19">
        <f t="shared" si="1"/>
        <v>3180</v>
      </c>
      <c r="Q58" t="s">
        <v>23</v>
      </c>
      <c r="R58" t="s">
        <v>63</v>
      </c>
      <c r="T58">
        <v>1</v>
      </c>
      <c r="U58" s="19">
        <v>1483</v>
      </c>
      <c r="V58">
        <v>0</v>
      </c>
      <c r="W58" s="19">
        <v>0</v>
      </c>
      <c r="X58">
        <v>0</v>
      </c>
      <c r="Y58" s="19">
        <v>0</v>
      </c>
      <c r="Z58">
        <v>1</v>
      </c>
      <c r="AA58" s="19">
        <v>1079</v>
      </c>
      <c r="AB58">
        <v>1</v>
      </c>
      <c r="AC58" s="19">
        <v>809</v>
      </c>
      <c r="AD58">
        <v>0</v>
      </c>
      <c r="AE58" s="19">
        <v>0</v>
      </c>
      <c r="AF58">
        <v>0</v>
      </c>
      <c r="AG58" s="19">
        <v>0</v>
      </c>
      <c r="AH58">
        <v>2</v>
      </c>
      <c r="AI58" s="19">
        <v>378</v>
      </c>
      <c r="AJ58">
        <v>1</v>
      </c>
      <c r="AK58" s="19">
        <v>94</v>
      </c>
      <c r="AL58">
        <v>1</v>
      </c>
      <c r="AM58" s="19">
        <v>189</v>
      </c>
      <c r="AN58">
        <v>1</v>
      </c>
      <c r="AO58" s="19">
        <v>202</v>
      </c>
      <c r="AP58">
        <v>1</v>
      </c>
      <c r="AQ58" s="19">
        <v>337</v>
      </c>
    </row>
    <row r="59" spans="1:43" x14ac:dyDescent="0.35">
      <c r="A59" s="18">
        <v>45347</v>
      </c>
      <c r="B59" t="s">
        <v>62</v>
      </c>
      <c r="C59" t="s">
        <v>61</v>
      </c>
      <c r="D59">
        <v>8</v>
      </c>
      <c r="E59">
        <v>3</v>
      </c>
      <c r="F59">
        <v>5</v>
      </c>
      <c r="G59" s="19">
        <v>4577</v>
      </c>
      <c r="H59" s="19">
        <v>3521</v>
      </c>
      <c r="I59" s="19">
        <v>1056</v>
      </c>
      <c r="J59" s="19">
        <v>252</v>
      </c>
      <c r="K59" s="19">
        <v>103</v>
      </c>
      <c r="L59" s="19">
        <v>862</v>
      </c>
      <c r="M59" s="19">
        <v>101</v>
      </c>
      <c r="N59" s="19">
        <v>65</v>
      </c>
      <c r="O59" s="19">
        <f t="shared" si="0"/>
        <v>1383</v>
      </c>
      <c r="P59" s="19">
        <f t="shared" si="1"/>
        <v>3194</v>
      </c>
      <c r="Q59" t="s">
        <v>23</v>
      </c>
      <c r="R59" t="s">
        <v>63</v>
      </c>
      <c r="T59">
        <v>1</v>
      </c>
      <c r="U59" s="19">
        <v>1549</v>
      </c>
      <c r="V59">
        <v>0</v>
      </c>
      <c r="W59" s="19">
        <v>0</v>
      </c>
      <c r="X59">
        <v>0</v>
      </c>
      <c r="Y59" s="19">
        <v>0</v>
      </c>
      <c r="Z59">
        <v>1</v>
      </c>
      <c r="AA59" s="19">
        <v>1127</v>
      </c>
      <c r="AB59">
        <v>1</v>
      </c>
      <c r="AC59" s="19">
        <v>845</v>
      </c>
      <c r="AD59">
        <v>0</v>
      </c>
      <c r="AE59" s="19">
        <v>0</v>
      </c>
      <c r="AF59">
        <v>0</v>
      </c>
      <c r="AG59" s="19">
        <v>0</v>
      </c>
      <c r="AH59">
        <v>1</v>
      </c>
      <c r="AI59" s="19">
        <v>197</v>
      </c>
      <c r="AJ59">
        <v>1</v>
      </c>
      <c r="AK59" s="19">
        <v>99</v>
      </c>
      <c r="AL59">
        <v>1</v>
      </c>
      <c r="AM59" s="19">
        <v>197</v>
      </c>
      <c r="AN59">
        <v>1</v>
      </c>
      <c r="AO59" s="19">
        <v>211</v>
      </c>
      <c r="AP59">
        <v>1</v>
      </c>
      <c r="AQ59" s="19">
        <v>352</v>
      </c>
    </row>
    <row r="60" spans="1:43" x14ac:dyDescent="0.35">
      <c r="A60" s="18">
        <v>45348</v>
      </c>
      <c r="B60" t="s">
        <v>52</v>
      </c>
      <c r="C60" t="s">
        <v>53</v>
      </c>
      <c r="D60">
        <v>7</v>
      </c>
      <c r="E60">
        <v>2</v>
      </c>
      <c r="F60">
        <v>5</v>
      </c>
      <c r="G60" s="19">
        <v>3509</v>
      </c>
      <c r="H60" s="19">
        <v>2435</v>
      </c>
      <c r="I60" s="19">
        <v>1074</v>
      </c>
      <c r="J60" s="19">
        <v>252</v>
      </c>
      <c r="K60" s="19">
        <v>103</v>
      </c>
      <c r="L60" s="19">
        <v>862</v>
      </c>
      <c r="M60" s="19">
        <v>77</v>
      </c>
      <c r="N60" s="19">
        <v>57</v>
      </c>
      <c r="O60" s="19">
        <f t="shared" si="0"/>
        <v>1351</v>
      </c>
      <c r="P60" s="19">
        <f t="shared" si="1"/>
        <v>2158</v>
      </c>
      <c r="Q60" t="s">
        <v>23</v>
      </c>
      <c r="R60" t="s">
        <v>63</v>
      </c>
      <c r="T60">
        <v>1</v>
      </c>
      <c r="U60" s="19">
        <v>1575</v>
      </c>
      <c r="V60">
        <v>0</v>
      </c>
      <c r="W60" s="19">
        <v>0</v>
      </c>
      <c r="X60">
        <v>0</v>
      </c>
      <c r="Y60" s="19">
        <v>0</v>
      </c>
      <c r="Z60">
        <v>0</v>
      </c>
      <c r="AA60" s="19">
        <v>0</v>
      </c>
      <c r="AB60">
        <v>1</v>
      </c>
      <c r="AC60" s="19">
        <v>859</v>
      </c>
      <c r="AD60">
        <v>0</v>
      </c>
      <c r="AE60" s="19">
        <v>0</v>
      </c>
      <c r="AF60">
        <v>0</v>
      </c>
      <c r="AG60" s="19">
        <v>0</v>
      </c>
      <c r="AH60">
        <v>1</v>
      </c>
      <c r="AI60" s="19">
        <v>201</v>
      </c>
      <c r="AJ60">
        <v>1</v>
      </c>
      <c r="AK60" s="19">
        <v>100</v>
      </c>
      <c r="AL60">
        <v>1</v>
      </c>
      <c r="AM60" s="19">
        <v>201</v>
      </c>
      <c r="AN60">
        <v>1</v>
      </c>
      <c r="AO60" s="19">
        <v>215</v>
      </c>
      <c r="AP60">
        <v>1</v>
      </c>
      <c r="AQ60" s="19">
        <v>358</v>
      </c>
    </row>
    <row r="61" spans="1:43" x14ac:dyDescent="0.35">
      <c r="A61" s="18">
        <v>45349</v>
      </c>
      <c r="B61" t="s">
        <v>56</v>
      </c>
      <c r="C61" t="s">
        <v>53</v>
      </c>
      <c r="D61">
        <v>7</v>
      </c>
      <c r="E61">
        <v>2</v>
      </c>
      <c r="F61">
        <v>5</v>
      </c>
      <c r="G61" s="19">
        <v>3461</v>
      </c>
      <c r="H61" s="19">
        <v>2402</v>
      </c>
      <c r="I61" s="19">
        <v>1059</v>
      </c>
      <c r="J61" s="19">
        <v>252</v>
      </c>
      <c r="K61" s="19">
        <v>103</v>
      </c>
      <c r="L61" s="19">
        <v>862</v>
      </c>
      <c r="M61" s="19">
        <v>76</v>
      </c>
      <c r="N61" s="19">
        <v>57</v>
      </c>
      <c r="O61" s="19">
        <f t="shared" si="0"/>
        <v>1350</v>
      </c>
      <c r="P61" s="19">
        <f t="shared" si="1"/>
        <v>2111</v>
      </c>
      <c r="Q61" t="s">
        <v>23</v>
      </c>
      <c r="R61" t="s">
        <v>63</v>
      </c>
      <c r="T61">
        <v>1</v>
      </c>
      <c r="U61" s="19">
        <v>1554</v>
      </c>
      <c r="V61">
        <v>0</v>
      </c>
      <c r="W61" s="19">
        <v>0</v>
      </c>
      <c r="X61">
        <v>0</v>
      </c>
      <c r="Y61" s="19">
        <v>0</v>
      </c>
      <c r="Z61">
        <v>0</v>
      </c>
      <c r="AA61" s="19">
        <v>0</v>
      </c>
      <c r="AB61">
        <v>1</v>
      </c>
      <c r="AC61" s="19">
        <v>848</v>
      </c>
      <c r="AD61">
        <v>0</v>
      </c>
      <c r="AE61" s="19">
        <v>0</v>
      </c>
      <c r="AF61">
        <v>0</v>
      </c>
      <c r="AG61" s="19">
        <v>0</v>
      </c>
      <c r="AH61">
        <v>1</v>
      </c>
      <c r="AI61" s="19">
        <v>198</v>
      </c>
      <c r="AJ61">
        <v>1</v>
      </c>
      <c r="AK61" s="19">
        <v>99</v>
      </c>
      <c r="AL61">
        <v>1</v>
      </c>
      <c r="AM61" s="19">
        <v>198</v>
      </c>
      <c r="AN61">
        <v>1</v>
      </c>
      <c r="AO61" s="19">
        <v>212</v>
      </c>
      <c r="AP61">
        <v>1</v>
      </c>
      <c r="AQ61" s="19">
        <v>353</v>
      </c>
    </row>
    <row r="62" spans="1:43" x14ac:dyDescent="0.35">
      <c r="A62" s="18">
        <v>45350</v>
      </c>
      <c r="B62" t="s">
        <v>57</v>
      </c>
      <c r="C62" t="s">
        <v>53</v>
      </c>
      <c r="D62">
        <v>7</v>
      </c>
      <c r="E62">
        <v>3</v>
      </c>
      <c r="F62">
        <v>4</v>
      </c>
      <c r="G62" s="19">
        <v>3975</v>
      </c>
      <c r="H62" s="19">
        <v>3312</v>
      </c>
      <c r="I62" s="19">
        <v>662</v>
      </c>
      <c r="J62" s="19">
        <v>252</v>
      </c>
      <c r="K62" s="19">
        <v>103</v>
      </c>
      <c r="L62" s="19">
        <v>862</v>
      </c>
      <c r="M62" s="19">
        <v>88</v>
      </c>
      <c r="N62" s="19">
        <v>57</v>
      </c>
      <c r="O62" s="19">
        <f t="shared" si="0"/>
        <v>1362</v>
      </c>
      <c r="P62" s="19">
        <f t="shared" si="1"/>
        <v>2613</v>
      </c>
      <c r="Q62" t="s">
        <v>23</v>
      </c>
      <c r="R62" t="s">
        <v>63</v>
      </c>
      <c r="T62">
        <v>1</v>
      </c>
      <c r="U62" s="19">
        <v>1458</v>
      </c>
      <c r="V62">
        <v>0</v>
      </c>
      <c r="W62" s="19">
        <v>0</v>
      </c>
      <c r="X62">
        <v>0</v>
      </c>
      <c r="Y62" s="19">
        <v>0</v>
      </c>
      <c r="Z62">
        <v>1</v>
      </c>
      <c r="AA62" s="19">
        <v>1060</v>
      </c>
      <c r="AB62">
        <v>1</v>
      </c>
      <c r="AC62" s="19">
        <v>795</v>
      </c>
      <c r="AD62">
        <v>0</v>
      </c>
      <c r="AE62" s="19">
        <v>0</v>
      </c>
      <c r="AF62">
        <v>0</v>
      </c>
      <c r="AG62" s="19">
        <v>0</v>
      </c>
      <c r="AH62">
        <v>1</v>
      </c>
      <c r="AI62" s="19">
        <v>186</v>
      </c>
      <c r="AJ62">
        <v>1</v>
      </c>
      <c r="AK62" s="19">
        <v>93</v>
      </c>
      <c r="AL62">
        <v>1</v>
      </c>
      <c r="AM62" s="19">
        <v>186</v>
      </c>
      <c r="AN62">
        <v>1</v>
      </c>
      <c r="AO62" s="19">
        <v>199</v>
      </c>
      <c r="AP62">
        <v>0</v>
      </c>
      <c r="AQ62" s="19">
        <v>0</v>
      </c>
    </row>
    <row r="63" spans="1:43" x14ac:dyDescent="0.35">
      <c r="A63" s="18">
        <v>45351</v>
      </c>
      <c r="B63" t="s">
        <v>58</v>
      </c>
      <c r="C63" t="s">
        <v>53</v>
      </c>
      <c r="D63">
        <v>7</v>
      </c>
      <c r="E63">
        <v>2</v>
      </c>
      <c r="F63">
        <v>5</v>
      </c>
      <c r="G63" s="19">
        <v>3674</v>
      </c>
      <c r="H63" s="19">
        <v>2549</v>
      </c>
      <c r="I63" s="19">
        <v>1125</v>
      </c>
      <c r="J63" s="19">
        <v>252</v>
      </c>
      <c r="K63" s="19">
        <v>103</v>
      </c>
      <c r="L63" s="19">
        <v>862</v>
      </c>
      <c r="M63" s="19">
        <v>81</v>
      </c>
      <c r="N63" s="19">
        <v>57</v>
      </c>
      <c r="O63" s="19">
        <f t="shared" si="0"/>
        <v>1355</v>
      </c>
      <c r="P63" s="19">
        <f t="shared" si="1"/>
        <v>2319</v>
      </c>
      <c r="Q63" t="s">
        <v>23</v>
      </c>
      <c r="R63" t="s">
        <v>63</v>
      </c>
      <c r="T63">
        <v>1</v>
      </c>
      <c r="U63" s="19">
        <v>1650</v>
      </c>
      <c r="V63">
        <v>0</v>
      </c>
      <c r="W63" s="19">
        <v>0</v>
      </c>
      <c r="X63">
        <v>0</v>
      </c>
      <c r="Y63" s="19">
        <v>0</v>
      </c>
      <c r="Z63">
        <v>0</v>
      </c>
      <c r="AA63" s="19">
        <v>0</v>
      </c>
      <c r="AB63">
        <v>1</v>
      </c>
      <c r="AC63" s="19">
        <v>900</v>
      </c>
      <c r="AD63">
        <v>0</v>
      </c>
      <c r="AE63" s="19">
        <v>0</v>
      </c>
      <c r="AF63">
        <v>0</v>
      </c>
      <c r="AG63" s="19">
        <v>0</v>
      </c>
      <c r="AH63">
        <v>1</v>
      </c>
      <c r="AI63" s="19">
        <v>210</v>
      </c>
      <c r="AJ63">
        <v>1</v>
      </c>
      <c r="AK63" s="19">
        <v>105</v>
      </c>
      <c r="AL63">
        <v>1</v>
      </c>
      <c r="AM63" s="19">
        <v>210</v>
      </c>
      <c r="AN63">
        <v>1</v>
      </c>
      <c r="AO63" s="19">
        <v>225</v>
      </c>
      <c r="AP63">
        <v>1</v>
      </c>
      <c r="AQ63" s="19">
        <v>375</v>
      </c>
    </row>
    <row r="64" spans="1:43" x14ac:dyDescent="0.35">
      <c r="A64" s="18">
        <v>45352</v>
      </c>
      <c r="B64" t="s">
        <v>59</v>
      </c>
      <c r="C64" t="s">
        <v>53</v>
      </c>
      <c r="D64">
        <v>8</v>
      </c>
      <c r="E64">
        <v>3</v>
      </c>
      <c r="F64">
        <v>5</v>
      </c>
      <c r="G64" s="19">
        <v>4193</v>
      </c>
      <c r="H64" s="19">
        <v>2979</v>
      </c>
      <c r="I64" s="19">
        <v>1214</v>
      </c>
      <c r="J64" s="19">
        <v>239</v>
      </c>
      <c r="K64" s="19">
        <v>100</v>
      </c>
      <c r="L64" s="19">
        <v>806</v>
      </c>
      <c r="M64" s="19">
        <v>92</v>
      </c>
      <c r="N64" s="19">
        <v>65</v>
      </c>
      <c r="O64" s="19">
        <f t="shared" si="0"/>
        <v>1302</v>
      </c>
      <c r="P64" s="19">
        <f t="shared" si="1"/>
        <v>2891</v>
      </c>
      <c r="Q64" t="s">
        <v>23</v>
      </c>
      <c r="R64" t="s">
        <v>64</v>
      </c>
      <c r="T64">
        <v>1</v>
      </c>
      <c r="U64" s="19">
        <v>1781</v>
      </c>
      <c r="V64">
        <v>0</v>
      </c>
      <c r="W64" s="19">
        <v>0</v>
      </c>
      <c r="X64">
        <v>0</v>
      </c>
      <c r="Y64" s="19">
        <v>0</v>
      </c>
      <c r="Z64">
        <v>0</v>
      </c>
      <c r="AA64" s="19">
        <v>0</v>
      </c>
      <c r="AB64">
        <v>1</v>
      </c>
      <c r="AC64" s="19">
        <v>971</v>
      </c>
      <c r="AD64">
        <v>0</v>
      </c>
      <c r="AE64" s="19">
        <v>0</v>
      </c>
      <c r="AF64">
        <v>0</v>
      </c>
      <c r="AG64" s="19">
        <v>0</v>
      </c>
      <c r="AH64">
        <v>2</v>
      </c>
      <c r="AI64" s="19">
        <v>453</v>
      </c>
      <c r="AJ64">
        <v>1</v>
      </c>
      <c r="AK64" s="19">
        <v>113</v>
      </c>
      <c r="AL64">
        <v>1</v>
      </c>
      <c r="AM64" s="19">
        <v>227</v>
      </c>
      <c r="AN64">
        <v>1</v>
      </c>
      <c r="AO64" s="19">
        <v>243</v>
      </c>
      <c r="AP64">
        <v>1</v>
      </c>
      <c r="AQ64" s="19">
        <v>405</v>
      </c>
    </row>
    <row r="65" spans="1:43" x14ac:dyDescent="0.35">
      <c r="A65" s="18">
        <v>45353</v>
      </c>
      <c r="B65" t="s">
        <v>60</v>
      </c>
      <c r="C65" t="s">
        <v>61</v>
      </c>
      <c r="D65">
        <v>10</v>
      </c>
      <c r="E65">
        <v>4</v>
      </c>
      <c r="F65">
        <v>6</v>
      </c>
      <c r="G65" s="19">
        <v>5458</v>
      </c>
      <c r="H65" s="19">
        <v>3282</v>
      </c>
      <c r="I65" s="19">
        <v>2176</v>
      </c>
      <c r="J65" s="19">
        <v>239</v>
      </c>
      <c r="K65" s="19">
        <v>100</v>
      </c>
      <c r="L65" s="19">
        <v>806</v>
      </c>
      <c r="M65" s="19">
        <v>120</v>
      </c>
      <c r="N65" s="19">
        <v>81</v>
      </c>
      <c r="O65" s="19">
        <f t="shared" si="0"/>
        <v>1346</v>
      </c>
      <c r="P65" s="19">
        <f t="shared" si="1"/>
        <v>4112</v>
      </c>
      <c r="Q65" t="s">
        <v>23</v>
      </c>
      <c r="R65" t="s">
        <v>64</v>
      </c>
      <c r="T65">
        <v>1</v>
      </c>
      <c r="U65" s="19">
        <v>1368</v>
      </c>
      <c r="V65">
        <v>0</v>
      </c>
      <c r="W65" s="19">
        <v>0</v>
      </c>
      <c r="X65">
        <v>0</v>
      </c>
      <c r="Y65" s="19">
        <v>0</v>
      </c>
      <c r="Z65">
        <v>1</v>
      </c>
      <c r="AA65" s="19">
        <v>995</v>
      </c>
      <c r="AB65">
        <v>1</v>
      </c>
      <c r="AC65" s="19">
        <v>746</v>
      </c>
      <c r="AD65">
        <v>1</v>
      </c>
      <c r="AE65" s="19">
        <v>1243</v>
      </c>
      <c r="AF65">
        <v>0</v>
      </c>
      <c r="AG65" s="19">
        <v>0</v>
      </c>
      <c r="AH65">
        <v>2</v>
      </c>
      <c r="AI65" s="19">
        <v>348</v>
      </c>
      <c r="AJ65">
        <v>1</v>
      </c>
      <c r="AK65" s="19">
        <v>87</v>
      </c>
      <c r="AL65">
        <v>1</v>
      </c>
      <c r="AM65" s="19">
        <v>174</v>
      </c>
      <c r="AN65">
        <v>1</v>
      </c>
      <c r="AO65" s="19">
        <v>186</v>
      </c>
      <c r="AP65">
        <v>1</v>
      </c>
      <c r="AQ65" s="19">
        <v>311</v>
      </c>
    </row>
    <row r="66" spans="1:43" x14ac:dyDescent="0.35">
      <c r="A66" s="18">
        <v>45354</v>
      </c>
      <c r="B66" t="s">
        <v>62</v>
      </c>
      <c r="C66" t="s">
        <v>61</v>
      </c>
      <c r="D66">
        <v>9</v>
      </c>
      <c r="E66">
        <v>3</v>
      </c>
      <c r="F66">
        <v>6</v>
      </c>
      <c r="G66" s="19">
        <v>5053</v>
      </c>
      <c r="H66" s="19">
        <v>2590</v>
      </c>
      <c r="I66" s="19">
        <v>2463</v>
      </c>
      <c r="J66" s="19">
        <v>239</v>
      </c>
      <c r="K66" s="19">
        <v>100</v>
      </c>
      <c r="L66" s="19">
        <v>806</v>
      </c>
      <c r="M66" s="19">
        <v>111</v>
      </c>
      <c r="N66" s="19">
        <v>73</v>
      </c>
      <c r="O66" s="19">
        <f t="shared" si="0"/>
        <v>1329</v>
      </c>
      <c r="P66" s="19">
        <f t="shared" si="1"/>
        <v>3724</v>
      </c>
      <c r="Q66" t="s">
        <v>23</v>
      </c>
      <c r="R66" t="s">
        <v>64</v>
      </c>
      <c r="T66">
        <v>1</v>
      </c>
      <c r="U66" s="19">
        <v>1548</v>
      </c>
      <c r="V66">
        <v>0</v>
      </c>
      <c r="W66" s="19">
        <v>0</v>
      </c>
      <c r="X66">
        <v>0</v>
      </c>
      <c r="Y66" s="19">
        <v>0</v>
      </c>
      <c r="Z66">
        <v>0</v>
      </c>
      <c r="AA66" s="19">
        <v>0</v>
      </c>
      <c r="AB66">
        <v>1</v>
      </c>
      <c r="AC66" s="19">
        <v>845</v>
      </c>
      <c r="AD66">
        <v>1</v>
      </c>
      <c r="AE66" s="19">
        <v>1408</v>
      </c>
      <c r="AF66">
        <v>0</v>
      </c>
      <c r="AG66" s="19">
        <v>0</v>
      </c>
      <c r="AH66">
        <v>2</v>
      </c>
      <c r="AI66" s="19">
        <v>394</v>
      </c>
      <c r="AJ66">
        <v>1</v>
      </c>
      <c r="AK66" s="19">
        <v>99</v>
      </c>
      <c r="AL66">
        <v>1</v>
      </c>
      <c r="AM66" s="19">
        <v>197</v>
      </c>
      <c r="AN66">
        <v>1</v>
      </c>
      <c r="AO66" s="19">
        <v>211</v>
      </c>
      <c r="AP66">
        <v>1</v>
      </c>
      <c r="AQ66" s="19">
        <v>352</v>
      </c>
    </row>
    <row r="67" spans="1:43" x14ac:dyDescent="0.35">
      <c r="A67" s="18">
        <v>45355</v>
      </c>
      <c r="B67" t="s">
        <v>52</v>
      </c>
      <c r="C67" t="s">
        <v>53</v>
      </c>
      <c r="D67">
        <v>6</v>
      </c>
      <c r="E67">
        <v>1</v>
      </c>
      <c r="F67">
        <v>5</v>
      </c>
      <c r="G67" s="19">
        <v>3369</v>
      </c>
      <c r="H67" s="19">
        <v>1497</v>
      </c>
      <c r="I67" s="19">
        <v>1872</v>
      </c>
      <c r="J67" s="19">
        <v>239</v>
      </c>
      <c r="K67" s="19">
        <v>100</v>
      </c>
      <c r="L67" s="19">
        <v>806</v>
      </c>
      <c r="M67" s="19">
        <v>74</v>
      </c>
      <c r="N67" s="19">
        <v>49</v>
      </c>
      <c r="O67" s="19">
        <f t="shared" si="0"/>
        <v>1268</v>
      </c>
      <c r="P67" s="19">
        <f t="shared" si="1"/>
        <v>2101</v>
      </c>
      <c r="Q67" t="s">
        <v>27</v>
      </c>
      <c r="R67" t="s">
        <v>64</v>
      </c>
      <c r="T67">
        <v>0</v>
      </c>
      <c r="U67" s="19">
        <v>0</v>
      </c>
      <c r="V67">
        <v>0</v>
      </c>
      <c r="W67" s="19">
        <v>0</v>
      </c>
      <c r="X67">
        <v>0</v>
      </c>
      <c r="Y67" s="19">
        <v>0</v>
      </c>
      <c r="Z67">
        <v>0</v>
      </c>
      <c r="AA67" s="19">
        <v>0</v>
      </c>
      <c r="AB67">
        <v>1</v>
      </c>
      <c r="AC67" s="19">
        <v>1497</v>
      </c>
      <c r="AD67">
        <v>0</v>
      </c>
      <c r="AE67" s="19">
        <v>0</v>
      </c>
      <c r="AF67">
        <v>0</v>
      </c>
      <c r="AG67" s="19">
        <v>0</v>
      </c>
      <c r="AH67">
        <v>1</v>
      </c>
      <c r="AI67" s="19">
        <v>349</v>
      </c>
      <c r="AJ67">
        <v>1</v>
      </c>
      <c r="AK67" s="19">
        <v>175</v>
      </c>
      <c r="AL67">
        <v>1</v>
      </c>
      <c r="AM67" s="19">
        <v>349</v>
      </c>
      <c r="AN67">
        <v>1</v>
      </c>
      <c r="AO67" s="19">
        <v>374</v>
      </c>
      <c r="AP67">
        <v>1</v>
      </c>
      <c r="AQ67" s="19">
        <v>624</v>
      </c>
    </row>
    <row r="68" spans="1:43" x14ac:dyDescent="0.35">
      <c r="A68" s="18">
        <v>45356</v>
      </c>
      <c r="B68" t="s">
        <v>56</v>
      </c>
      <c r="C68" t="s">
        <v>53</v>
      </c>
      <c r="D68">
        <v>7</v>
      </c>
      <c r="E68">
        <v>3</v>
      </c>
      <c r="F68">
        <v>4</v>
      </c>
      <c r="G68" s="19">
        <v>3655</v>
      </c>
      <c r="H68" s="19">
        <v>3046</v>
      </c>
      <c r="I68" s="19">
        <v>609</v>
      </c>
      <c r="J68" s="19">
        <v>239</v>
      </c>
      <c r="K68" s="19">
        <v>100</v>
      </c>
      <c r="L68" s="19">
        <v>806</v>
      </c>
      <c r="M68" s="19">
        <v>81</v>
      </c>
      <c r="N68" s="19">
        <v>57</v>
      </c>
      <c r="O68" s="19">
        <f t="shared" ref="O68:O131" si="2">SUM(J68:N68)</f>
        <v>1283</v>
      </c>
      <c r="P68" s="19">
        <f t="shared" ref="P68:P131" si="3">G68-O68</f>
        <v>2372</v>
      </c>
      <c r="Q68" t="s">
        <v>23</v>
      </c>
      <c r="R68" t="s">
        <v>64</v>
      </c>
      <c r="T68">
        <v>1</v>
      </c>
      <c r="U68" s="19">
        <v>1340</v>
      </c>
      <c r="V68">
        <v>0</v>
      </c>
      <c r="W68" s="19">
        <v>0</v>
      </c>
      <c r="X68">
        <v>0</v>
      </c>
      <c r="Y68" s="19">
        <v>0</v>
      </c>
      <c r="Z68">
        <v>1</v>
      </c>
      <c r="AA68" s="19">
        <v>975</v>
      </c>
      <c r="AB68">
        <v>1</v>
      </c>
      <c r="AC68" s="19">
        <v>731</v>
      </c>
      <c r="AD68">
        <v>0</v>
      </c>
      <c r="AE68" s="19">
        <v>0</v>
      </c>
      <c r="AF68">
        <v>0</v>
      </c>
      <c r="AG68" s="19">
        <v>0</v>
      </c>
      <c r="AH68">
        <v>1</v>
      </c>
      <c r="AI68" s="19">
        <v>171</v>
      </c>
      <c r="AJ68">
        <v>1</v>
      </c>
      <c r="AK68" s="19">
        <v>85</v>
      </c>
      <c r="AL68">
        <v>1</v>
      </c>
      <c r="AM68" s="19">
        <v>171</v>
      </c>
      <c r="AN68">
        <v>1</v>
      </c>
      <c r="AO68" s="19">
        <v>183</v>
      </c>
      <c r="AP68">
        <v>0</v>
      </c>
      <c r="AQ68" s="19">
        <v>0</v>
      </c>
    </row>
    <row r="69" spans="1:43" x14ac:dyDescent="0.35">
      <c r="A69" s="18">
        <v>45357</v>
      </c>
      <c r="B69" t="s">
        <v>57</v>
      </c>
      <c r="C69" t="s">
        <v>53</v>
      </c>
      <c r="D69">
        <v>8</v>
      </c>
      <c r="E69">
        <v>3</v>
      </c>
      <c r="F69">
        <v>5</v>
      </c>
      <c r="G69" s="19">
        <v>4274</v>
      </c>
      <c r="H69" s="19">
        <v>3036</v>
      </c>
      <c r="I69" s="19">
        <v>1238</v>
      </c>
      <c r="J69" s="19">
        <v>239</v>
      </c>
      <c r="K69" s="19">
        <v>100</v>
      </c>
      <c r="L69" s="19">
        <v>806</v>
      </c>
      <c r="M69" s="19">
        <v>94</v>
      </c>
      <c r="N69" s="19">
        <v>65</v>
      </c>
      <c r="O69" s="19">
        <f t="shared" si="2"/>
        <v>1304</v>
      </c>
      <c r="P69" s="19">
        <f t="shared" si="3"/>
        <v>2970</v>
      </c>
      <c r="Q69" t="s">
        <v>23</v>
      </c>
      <c r="R69" t="s">
        <v>64</v>
      </c>
      <c r="T69">
        <v>1</v>
      </c>
      <c r="U69" s="19">
        <v>1815</v>
      </c>
      <c r="V69">
        <v>0</v>
      </c>
      <c r="W69" s="19">
        <v>0</v>
      </c>
      <c r="X69">
        <v>0</v>
      </c>
      <c r="Y69" s="19">
        <v>0</v>
      </c>
      <c r="Z69">
        <v>0</v>
      </c>
      <c r="AA69" s="19">
        <v>0</v>
      </c>
      <c r="AB69">
        <v>1</v>
      </c>
      <c r="AC69" s="19">
        <v>990</v>
      </c>
      <c r="AD69">
        <v>0</v>
      </c>
      <c r="AE69" s="19">
        <v>0</v>
      </c>
      <c r="AF69">
        <v>0</v>
      </c>
      <c r="AG69" s="19">
        <v>0</v>
      </c>
      <c r="AH69">
        <v>2</v>
      </c>
      <c r="AI69" s="19">
        <v>462</v>
      </c>
      <c r="AJ69">
        <v>1</v>
      </c>
      <c r="AK69" s="19">
        <v>116</v>
      </c>
      <c r="AL69">
        <v>1</v>
      </c>
      <c r="AM69" s="19">
        <v>231</v>
      </c>
      <c r="AN69">
        <v>1</v>
      </c>
      <c r="AO69" s="19">
        <v>248</v>
      </c>
      <c r="AP69">
        <v>1</v>
      </c>
      <c r="AQ69" s="19">
        <v>413</v>
      </c>
    </row>
    <row r="70" spans="1:43" x14ac:dyDescent="0.35">
      <c r="A70" s="18">
        <v>45358</v>
      </c>
      <c r="B70" t="s">
        <v>58</v>
      </c>
      <c r="C70" t="s">
        <v>53</v>
      </c>
      <c r="D70">
        <v>7</v>
      </c>
      <c r="E70">
        <v>3</v>
      </c>
      <c r="F70">
        <v>4</v>
      </c>
      <c r="G70" s="19">
        <v>3845</v>
      </c>
      <c r="H70" s="19">
        <v>3204</v>
      </c>
      <c r="I70" s="19">
        <v>641</v>
      </c>
      <c r="J70" s="19">
        <v>239</v>
      </c>
      <c r="K70" s="19">
        <v>100</v>
      </c>
      <c r="L70" s="19">
        <v>806</v>
      </c>
      <c r="M70" s="19">
        <v>85</v>
      </c>
      <c r="N70" s="19">
        <v>57</v>
      </c>
      <c r="O70" s="19">
        <f t="shared" si="2"/>
        <v>1287</v>
      </c>
      <c r="P70" s="19">
        <f t="shared" si="3"/>
        <v>2558</v>
      </c>
      <c r="Q70" t="s">
        <v>23</v>
      </c>
      <c r="R70" t="s">
        <v>64</v>
      </c>
      <c r="T70">
        <v>1</v>
      </c>
      <c r="U70" s="19">
        <v>1410</v>
      </c>
      <c r="V70">
        <v>0</v>
      </c>
      <c r="W70" s="19">
        <v>0</v>
      </c>
      <c r="X70">
        <v>0</v>
      </c>
      <c r="Y70" s="19">
        <v>0</v>
      </c>
      <c r="Z70">
        <v>1</v>
      </c>
      <c r="AA70" s="19">
        <v>1025</v>
      </c>
      <c r="AB70">
        <v>1</v>
      </c>
      <c r="AC70" s="19">
        <v>769</v>
      </c>
      <c r="AD70">
        <v>0</v>
      </c>
      <c r="AE70" s="19">
        <v>0</v>
      </c>
      <c r="AF70">
        <v>0</v>
      </c>
      <c r="AG70" s="19">
        <v>0</v>
      </c>
      <c r="AH70">
        <v>1</v>
      </c>
      <c r="AI70" s="19">
        <v>179</v>
      </c>
      <c r="AJ70">
        <v>1</v>
      </c>
      <c r="AK70" s="19">
        <v>90</v>
      </c>
      <c r="AL70">
        <v>1</v>
      </c>
      <c r="AM70" s="19">
        <v>179</v>
      </c>
      <c r="AN70">
        <v>1</v>
      </c>
      <c r="AO70" s="19">
        <v>192</v>
      </c>
      <c r="AP70">
        <v>0</v>
      </c>
      <c r="AQ70" s="19">
        <v>0</v>
      </c>
    </row>
    <row r="71" spans="1:43" x14ac:dyDescent="0.35">
      <c r="A71" s="18">
        <v>45359</v>
      </c>
      <c r="B71" t="s">
        <v>59</v>
      </c>
      <c r="C71" t="s">
        <v>53</v>
      </c>
      <c r="D71">
        <v>8</v>
      </c>
      <c r="E71">
        <v>3</v>
      </c>
      <c r="F71">
        <v>5</v>
      </c>
      <c r="G71" s="19">
        <v>4560</v>
      </c>
      <c r="H71" s="19">
        <v>3508</v>
      </c>
      <c r="I71" s="19">
        <v>1052</v>
      </c>
      <c r="J71" s="19">
        <v>239</v>
      </c>
      <c r="K71" s="19">
        <v>100</v>
      </c>
      <c r="L71" s="19">
        <v>806</v>
      </c>
      <c r="M71" s="19">
        <v>101</v>
      </c>
      <c r="N71" s="19">
        <v>65</v>
      </c>
      <c r="O71" s="19">
        <f t="shared" si="2"/>
        <v>1311</v>
      </c>
      <c r="P71" s="19">
        <f t="shared" si="3"/>
        <v>3249</v>
      </c>
      <c r="Q71" t="s">
        <v>23</v>
      </c>
      <c r="R71" t="s">
        <v>64</v>
      </c>
      <c r="T71">
        <v>1</v>
      </c>
      <c r="U71" s="19">
        <v>1543</v>
      </c>
      <c r="V71">
        <v>0</v>
      </c>
      <c r="W71" s="19">
        <v>0</v>
      </c>
      <c r="X71">
        <v>0</v>
      </c>
      <c r="Y71" s="19">
        <v>0</v>
      </c>
      <c r="Z71">
        <v>1</v>
      </c>
      <c r="AA71" s="19">
        <v>1122</v>
      </c>
      <c r="AB71">
        <v>1</v>
      </c>
      <c r="AC71" s="19">
        <v>842</v>
      </c>
      <c r="AD71">
        <v>0</v>
      </c>
      <c r="AE71" s="19">
        <v>0</v>
      </c>
      <c r="AF71">
        <v>0</v>
      </c>
      <c r="AG71" s="19">
        <v>0</v>
      </c>
      <c r="AH71">
        <v>1</v>
      </c>
      <c r="AI71" s="19">
        <v>196</v>
      </c>
      <c r="AJ71">
        <v>1</v>
      </c>
      <c r="AK71" s="19">
        <v>98</v>
      </c>
      <c r="AL71">
        <v>1</v>
      </c>
      <c r="AM71" s="19">
        <v>196</v>
      </c>
      <c r="AN71">
        <v>1</v>
      </c>
      <c r="AO71" s="19">
        <v>210</v>
      </c>
      <c r="AP71">
        <v>1</v>
      </c>
      <c r="AQ71" s="19">
        <v>351</v>
      </c>
    </row>
    <row r="72" spans="1:43" x14ac:dyDescent="0.35">
      <c r="A72" s="18">
        <v>45360</v>
      </c>
      <c r="B72" t="s">
        <v>60</v>
      </c>
      <c r="C72" t="s">
        <v>61</v>
      </c>
      <c r="D72">
        <v>9</v>
      </c>
      <c r="E72">
        <v>3</v>
      </c>
      <c r="F72">
        <v>6</v>
      </c>
      <c r="G72" s="19">
        <v>4944</v>
      </c>
      <c r="H72" s="19">
        <v>2908</v>
      </c>
      <c r="I72" s="19">
        <v>2036</v>
      </c>
      <c r="J72" s="19">
        <v>239</v>
      </c>
      <c r="K72" s="19">
        <v>100</v>
      </c>
      <c r="L72" s="19">
        <v>806</v>
      </c>
      <c r="M72" s="19">
        <v>109</v>
      </c>
      <c r="N72" s="19">
        <v>73</v>
      </c>
      <c r="O72" s="19">
        <f t="shared" si="2"/>
        <v>1327</v>
      </c>
      <c r="P72" s="19">
        <f t="shared" si="3"/>
        <v>3617</v>
      </c>
      <c r="Q72" t="s">
        <v>23</v>
      </c>
      <c r="R72" t="s">
        <v>64</v>
      </c>
      <c r="T72">
        <v>1</v>
      </c>
      <c r="U72" s="19">
        <v>1280</v>
      </c>
      <c r="V72">
        <v>0</v>
      </c>
      <c r="W72" s="19">
        <v>0</v>
      </c>
      <c r="X72">
        <v>0</v>
      </c>
      <c r="Y72" s="19">
        <v>0</v>
      </c>
      <c r="Z72">
        <v>1</v>
      </c>
      <c r="AA72" s="19">
        <v>931</v>
      </c>
      <c r="AB72">
        <v>1</v>
      </c>
      <c r="AC72" s="19">
        <v>698</v>
      </c>
      <c r="AD72">
        <v>1</v>
      </c>
      <c r="AE72" s="19">
        <v>1163</v>
      </c>
      <c r="AF72">
        <v>0</v>
      </c>
      <c r="AG72" s="19">
        <v>0</v>
      </c>
      <c r="AH72">
        <v>1</v>
      </c>
      <c r="AI72" s="19">
        <v>163</v>
      </c>
      <c r="AJ72">
        <v>1</v>
      </c>
      <c r="AK72" s="19">
        <v>81</v>
      </c>
      <c r="AL72">
        <v>1</v>
      </c>
      <c r="AM72" s="19">
        <v>163</v>
      </c>
      <c r="AN72">
        <v>1</v>
      </c>
      <c r="AO72" s="19">
        <v>174</v>
      </c>
      <c r="AP72">
        <v>1</v>
      </c>
      <c r="AQ72" s="19">
        <v>291</v>
      </c>
    </row>
    <row r="73" spans="1:43" x14ac:dyDescent="0.35">
      <c r="A73" s="18">
        <v>45361</v>
      </c>
      <c r="B73" t="s">
        <v>62</v>
      </c>
      <c r="C73" t="s">
        <v>61</v>
      </c>
      <c r="D73">
        <v>9</v>
      </c>
      <c r="E73">
        <v>4</v>
      </c>
      <c r="F73">
        <v>5</v>
      </c>
      <c r="G73" s="19">
        <v>4633</v>
      </c>
      <c r="H73" s="19">
        <v>3608</v>
      </c>
      <c r="I73" s="19">
        <v>1025</v>
      </c>
      <c r="J73" s="19">
        <v>239</v>
      </c>
      <c r="K73" s="19">
        <v>100</v>
      </c>
      <c r="L73" s="19">
        <v>806</v>
      </c>
      <c r="M73" s="19">
        <v>102</v>
      </c>
      <c r="N73" s="19">
        <v>73</v>
      </c>
      <c r="O73" s="19">
        <f t="shared" si="2"/>
        <v>1320</v>
      </c>
      <c r="P73" s="19">
        <f t="shared" si="3"/>
        <v>3313</v>
      </c>
      <c r="Q73" t="s">
        <v>23</v>
      </c>
      <c r="R73" t="s">
        <v>64</v>
      </c>
      <c r="T73">
        <v>1</v>
      </c>
      <c r="U73" s="19">
        <v>1503</v>
      </c>
      <c r="V73">
        <v>0</v>
      </c>
      <c r="W73" s="19">
        <v>0</v>
      </c>
      <c r="X73">
        <v>0</v>
      </c>
      <c r="Y73" s="19">
        <v>0</v>
      </c>
      <c r="Z73">
        <v>1</v>
      </c>
      <c r="AA73" s="19">
        <v>1093</v>
      </c>
      <c r="AB73">
        <v>1</v>
      </c>
      <c r="AC73" s="19">
        <v>820</v>
      </c>
      <c r="AD73">
        <v>0</v>
      </c>
      <c r="AE73" s="19">
        <v>0</v>
      </c>
      <c r="AF73">
        <v>0</v>
      </c>
      <c r="AG73" s="19">
        <v>0</v>
      </c>
      <c r="AH73">
        <v>2</v>
      </c>
      <c r="AI73" s="19">
        <v>383</v>
      </c>
      <c r="AJ73">
        <v>1</v>
      </c>
      <c r="AK73" s="19">
        <v>96</v>
      </c>
      <c r="AL73">
        <v>1</v>
      </c>
      <c r="AM73" s="19">
        <v>191</v>
      </c>
      <c r="AN73">
        <v>1</v>
      </c>
      <c r="AO73" s="19">
        <v>205</v>
      </c>
      <c r="AP73">
        <v>1</v>
      </c>
      <c r="AQ73" s="19">
        <v>342</v>
      </c>
    </row>
    <row r="74" spans="1:43" x14ac:dyDescent="0.35">
      <c r="A74" s="18">
        <v>45362</v>
      </c>
      <c r="B74" t="s">
        <v>52</v>
      </c>
      <c r="C74" t="s">
        <v>53</v>
      </c>
      <c r="D74">
        <v>7</v>
      </c>
      <c r="E74">
        <v>2</v>
      </c>
      <c r="F74">
        <v>5</v>
      </c>
      <c r="G74" s="19">
        <v>3712</v>
      </c>
      <c r="H74" s="19">
        <v>2576</v>
      </c>
      <c r="I74" s="19">
        <v>1136</v>
      </c>
      <c r="J74" s="19">
        <v>239</v>
      </c>
      <c r="K74" s="19">
        <v>100</v>
      </c>
      <c r="L74" s="19">
        <v>806</v>
      </c>
      <c r="M74" s="19">
        <v>82</v>
      </c>
      <c r="N74" s="19">
        <v>57</v>
      </c>
      <c r="O74" s="19">
        <f t="shared" si="2"/>
        <v>1284</v>
      </c>
      <c r="P74" s="19">
        <f t="shared" si="3"/>
        <v>2428</v>
      </c>
      <c r="Q74" t="s">
        <v>23</v>
      </c>
      <c r="R74" t="s">
        <v>64</v>
      </c>
      <c r="T74">
        <v>1</v>
      </c>
      <c r="U74" s="19">
        <v>1667</v>
      </c>
      <c r="V74">
        <v>0</v>
      </c>
      <c r="W74" s="19">
        <v>0</v>
      </c>
      <c r="X74">
        <v>0</v>
      </c>
      <c r="Y74" s="19">
        <v>0</v>
      </c>
      <c r="Z74">
        <v>0</v>
      </c>
      <c r="AA74" s="19">
        <v>0</v>
      </c>
      <c r="AB74">
        <v>1</v>
      </c>
      <c r="AC74" s="19">
        <v>909</v>
      </c>
      <c r="AD74">
        <v>0</v>
      </c>
      <c r="AE74" s="19">
        <v>0</v>
      </c>
      <c r="AF74">
        <v>0</v>
      </c>
      <c r="AG74" s="19">
        <v>0</v>
      </c>
      <c r="AH74">
        <v>1</v>
      </c>
      <c r="AI74" s="19">
        <v>212</v>
      </c>
      <c r="AJ74">
        <v>1</v>
      </c>
      <c r="AK74" s="19">
        <v>106</v>
      </c>
      <c r="AL74">
        <v>1</v>
      </c>
      <c r="AM74" s="19">
        <v>212</v>
      </c>
      <c r="AN74">
        <v>1</v>
      </c>
      <c r="AO74" s="19">
        <v>227</v>
      </c>
      <c r="AP74">
        <v>1</v>
      </c>
      <c r="AQ74" s="19">
        <v>379</v>
      </c>
    </row>
    <row r="75" spans="1:43" x14ac:dyDescent="0.35">
      <c r="A75" s="18">
        <v>45363</v>
      </c>
      <c r="B75" t="s">
        <v>56</v>
      </c>
      <c r="C75" t="s">
        <v>53</v>
      </c>
      <c r="D75">
        <v>7</v>
      </c>
      <c r="E75">
        <v>2</v>
      </c>
      <c r="F75">
        <v>5</v>
      </c>
      <c r="G75" s="19">
        <v>3818</v>
      </c>
      <c r="H75" s="19">
        <v>2649</v>
      </c>
      <c r="I75" s="19">
        <v>1169</v>
      </c>
      <c r="J75" s="19">
        <v>239</v>
      </c>
      <c r="K75" s="19">
        <v>100</v>
      </c>
      <c r="L75" s="19">
        <v>806</v>
      </c>
      <c r="M75" s="19">
        <v>84</v>
      </c>
      <c r="N75" s="19">
        <v>57</v>
      </c>
      <c r="O75" s="19">
        <f t="shared" si="2"/>
        <v>1286</v>
      </c>
      <c r="P75" s="19">
        <f t="shared" si="3"/>
        <v>2532</v>
      </c>
      <c r="Q75" t="s">
        <v>23</v>
      </c>
      <c r="R75" t="s">
        <v>64</v>
      </c>
      <c r="T75">
        <v>1</v>
      </c>
      <c r="U75" s="19">
        <v>1714</v>
      </c>
      <c r="V75">
        <v>0</v>
      </c>
      <c r="W75" s="19">
        <v>0</v>
      </c>
      <c r="X75">
        <v>0</v>
      </c>
      <c r="Y75" s="19">
        <v>0</v>
      </c>
      <c r="Z75">
        <v>0</v>
      </c>
      <c r="AA75" s="19">
        <v>0</v>
      </c>
      <c r="AB75">
        <v>1</v>
      </c>
      <c r="AC75" s="19">
        <v>935</v>
      </c>
      <c r="AD75">
        <v>0</v>
      </c>
      <c r="AE75" s="19">
        <v>0</v>
      </c>
      <c r="AF75">
        <v>0</v>
      </c>
      <c r="AG75" s="19">
        <v>0</v>
      </c>
      <c r="AH75">
        <v>1</v>
      </c>
      <c r="AI75" s="19">
        <v>218</v>
      </c>
      <c r="AJ75">
        <v>1</v>
      </c>
      <c r="AK75" s="19">
        <v>109</v>
      </c>
      <c r="AL75">
        <v>1</v>
      </c>
      <c r="AM75" s="19">
        <v>218</v>
      </c>
      <c r="AN75">
        <v>1</v>
      </c>
      <c r="AO75" s="19">
        <v>234</v>
      </c>
      <c r="AP75">
        <v>1</v>
      </c>
      <c r="AQ75" s="19">
        <v>390</v>
      </c>
    </row>
    <row r="76" spans="1:43" x14ac:dyDescent="0.35">
      <c r="A76" s="18">
        <v>45364</v>
      </c>
      <c r="B76" t="s">
        <v>57</v>
      </c>
      <c r="C76" t="s">
        <v>53</v>
      </c>
      <c r="D76">
        <v>7</v>
      </c>
      <c r="E76">
        <v>2</v>
      </c>
      <c r="F76">
        <v>5</v>
      </c>
      <c r="G76" s="19">
        <v>3934</v>
      </c>
      <c r="H76" s="19">
        <v>2730</v>
      </c>
      <c r="I76" s="19">
        <v>1204</v>
      </c>
      <c r="J76" s="19">
        <v>239</v>
      </c>
      <c r="K76" s="19">
        <v>100</v>
      </c>
      <c r="L76" s="19">
        <v>806</v>
      </c>
      <c r="M76" s="19">
        <v>87</v>
      </c>
      <c r="N76" s="19">
        <v>57</v>
      </c>
      <c r="O76" s="19">
        <f t="shared" si="2"/>
        <v>1289</v>
      </c>
      <c r="P76" s="19">
        <f t="shared" si="3"/>
        <v>2645</v>
      </c>
      <c r="Q76" t="s">
        <v>23</v>
      </c>
      <c r="R76" t="s">
        <v>64</v>
      </c>
      <c r="T76">
        <v>1</v>
      </c>
      <c r="U76" s="19">
        <v>1766</v>
      </c>
      <c r="V76">
        <v>0</v>
      </c>
      <c r="W76" s="19">
        <v>0</v>
      </c>
      <c r="X76">
        <v>0</v>
      </c>
      <c r="Y76" s="19">
        <v>0</v>
      </c>
      <c r="Z76">
        <v>0</v>
      </c>
      <c r="AA76" s="19">
        <v>0</v>
      </c>
      <c r="AB76">
        <v>1</v>
      </c>
      <c r="AC76" s="19">
        <v>963</v>
      </c>
      <c r="AD76">
        <v>0</v>
      </c>
      <c r="AE76" s="19">
        <v>0</v>
      </c>
      <c r="AF76">
        <v>0</v>
      </c>
      <c r="AG76" s="19">
        <v>0</v>
      </c>
      <c r="AH76">
        <v>1</v>
      </c>
      <c r="AI76" s="19">
        <v>225</v>
      </c>
      <c r="AJ76">
        <v>1</v>
      </c>
      <c r="AK76" s="19">
        <v>112</v>
      </c>
      <c r="AL76">
        <v>1</v>
      </c>
      <c r="AM76" s="19">
        <v>225</v>
      </c>
      <c r="AN76">
        <v>1</v>
      </c>
      <c r="AO76" s="19">
        <v>241</v>
      </c>
      <c r="AP76">
        <v>1</v>
      </c>
      <c r="AQ76" s="19">
        <v>401</v>
      </c>
    </row>
    <row r="77" spans="1:43" x14ac:dyDescent="0.35">
      <c r="A77" s="18">
        <v>45365</v>
      </c>
      <c r="B77" t="s">
        <v>58</v>
      </c>
      <c r="C77" t="s">
        <v>53</v>
      </c>
      <c r="D77">
        <v>8</v>
      </c>
      <c r="E77">
        <v>3</v>
      </c>
      <c r="F77">
        <v>5</v>
      </c>
      <c r="G77" s="19">
        <v>3946</v>
      </c>
      <c r="H77" s="19">
        <v>3035</v>
      </c>
      <c r="I77" s="19">
        <v>911</v>
      </c>
      <c r="J77" s="19">
        <v>239</v>
      </c>
      <c r="K77" s="19">
        <v>100</v>
      </c>
      <c r="L77" s="19">
        <v>806</v>
      </c>
      <c r="M77" s="19">
        <v>87</v>
      </c>
      <c r="N77" s="19">
        <v>65</v>
      </c>
      <c r="O77" s="19">
        <f t="shared" si="2"/>
        <v>1297</v>
      </c>
      <c r="P77" s="19">
        <f t="shared" si="3"/>
        <v>2649</v>
      </c>
      <c r="Q77" t="s">
        <v>23</v>
      </c>
      <c r="R77" t="s">
        <v>64</v>
      </c>
      <c r="T77">
        <v>1</v>
      </c>
      <c r="U77" s="19">
        <v>1336</v>
      </c>
      <c r="V77">
        <v>0</v>
      </c>
      <c r="W77" s="19">
        <v>0</v>
      </c>
      <c r="X77">
        <v>0</v>
      </c>
      <c r="Y77" s="19">
        <v>0</v>
      </c>
      <c r="Z77">
        <v>1</v>
      </c>
      <c r="AA77" s="19">
        <v>971</v>
      </c>
      <c r="AB77">
        <v>1</v>
      </c>
      <c r="AC77" s="19">
        <v>728</v>
      </c>
      <c r="AD77">
        <v>0</v>
      </c>
      <c r="AE77" s="19">
        <v>0</v>
      </c>
      <c r="AF77">
        <v>0</v>
      </c>
      <c r="AG77" s="19">
        <v>0</v>
      </c>
      <c r="AH77">
        <v>1</v>
      </c>
      <c r="AI77" s="19">
        <v>170</v>
      </c>
      <c r="AJ77">
        <v>1</v>
      </c>
      <c r="AK77" s="19">
        <v>85</v>
      </c>
      <c r="AL77">
        <v>1</v>
      </c>
      <c r="AM77" s="19">
        <v>170</v>
      </c>
      <c r="AN77">
        <v>1</v>
      </c>
      <c r="AO77" s="19">
        <v>182</v>
      </c>
      <c r="AP77">
        <v>1</v>
      </c>
      <c r="AQ77" s="19">
        <v>304</v>
      </c>
    </row>
    <row r="78" spans="1:43" x14ac:dyDescent="0.35">
      <c r="A78" s="18">
        <v>45366</v>
      </c>
      <c r="B78" t="s">
        <v>59</v>
      </c>
      <c r="C78" t="s">
        <v>53</v>
      </c>
      <c r="D78">
        <v>8</v>
      </c>
      <c r="E78">
        <v>3</v>
      </c>
      <c r="F78">
        <v>5</v>
      </c>
      <c r="G78" s="19">
        <v>4300</v>
      </c>
      <c r="H78" s="19">
        <v>3308</v>
      </c>
      <c r="I78" s="19">
        <v>992</v>
      </c>
      <c r="J78" s="19">
        <v>239</v>
      </c>
      <c r="K78" s="19">
        <v>100</v>
      </c>
      <c r="L78" s="19">
        <v>806</v>
      </c>
      <c r="M78" s="19">
        <v>95</v>
      </c>
      <c r="N78" s="19">
        <v>65</v>
      </c>
      <c r="O78" s="19">
        <f t="shared" si="2"/>
        <v>1305</v>
      </c>
      <c r="P78" s="19">
        <f t="shared" si="3"/>
        <v>2995</v>
      </c>
      <c r="Q78" t="s">
        <v>23</v>
      </c>
      <c r="R78" t="s">
        <v>64</v>
      </c>
      <c r="T78">
        <v>1</v>
      </c>
      <c r="U78" s="19">
        <v>1455</v>
      </c>
      <c r="V78">
        <v>0</v>
      </c>
      <c r="W78" s="19">
        <v>0</v>
      </c>
      <c r="X78">
        <v>0</v>
      </c>
      <c r="Y78" s="19">
        <v>0</v>
      </c>
      <c r="Z78">
        <v>1</v>
      </c>
      <c r="AA78" s="19">
        <v>1058</v>
      </c>
      <c r="AB78">
        <v>1</v>
      </c>
      <c r="AC78" s="19">
        <v>794</v>
      </c>
      <c r="AD78">
        <v>0</v>
      </c>
      <c r="AE78" s="19">
        <v>0</v>
      </c>
      <c r="AF78">
        <v>0</v>
      </c>
      <c r="AG78" s="19">
        <v>0</v>
      </c>
      <c r="AH78">
        <v>1</v>
      </c>
      <c r="AI78" s="19">
        <v>185</v>
      </c>
      <c r="AJ78">
        <v>1</v>
      </c>
      <c r="AK78" s="19">
        <v>93</v>
      </c>
      <c r="AL78">
        <v>1</v>
      </c>
      <c r="AM78" s="19">
        <v>185</v>
      </c>
      <c r="AN78">
        <v>1</v>
      </c>
      <c r="AO78" s="19">
        <v>198</v>
      </c>
      <c r="AP78">
        <v>1</v>
      </c>
      <c r="AQ78" s="19">
        <v>331</v>
      </c>
    </row>
    <row r="79" spans="1:43" x14ac:dyDescent="0.35">
      <c r="A79" s="18">
        <v>45367</v>
      </c>
      <c r="B79" t="s">
        <v>60</v>
      </c>
      <c r="C79" t="s">
        <v>61</v>
      </c>
      <c r="D79">
        <v>9</v>
      </c>
      <c r="E79">
        <v>4</v>
      </c>
      <c r="F79">
        <v>5</v>
      </c>
      <c r="G79" s="19">
        <v>4976</v>
      </c>
      <c r="H79" s="19">
        <v>3875</v>
      </c>
      <c r="I79" s="19">
        <v>1101</v>
      </c>
      <c r="J79" s="19">
        <v>239</v>
      </c>
      <c r="K79" s="19">
        <v>100</v>
      </c>
      <c r="L79" s="19">
        <v>806</v>
      </c>
      <c r="M79" s="19">
        <v>110</v>
      </c>
      <c r="N79" s="19">
        <v>73</v>
      </c>
      <c r="O79" s="19">
        <f t="shared" si="2"/>
        <v>1328</v>
      </c>
      <c r="P79" s="19">
        <f t="shared" si="3"/>
        <v>3648</v>
      </c>
      <c r="Q79" t="s">
        <v>23</v>
      </c>
      <c r="R79" t="s">
        <v>64</v>
      </c>
      <c r="T79">
        <v>1</v>
      </c>
      <c r="U79" s="19">
        <v>1615</v>
      </c>
      <c r="V79">
        <v>0</v>
      </c>
      <c r="W79" s="19">
        <v>0</v>
      </c>
      <c r="X79">
        <v>0</v>
      </c>
      <c r="Y79" s="19">
        <v>0</v>
      </c>
      <c r="Z79">
        <v>1</v>
      </c>
      <c r="AA79" s="19">
        <v>1174</v>
      </c>
      <c r="AB79">
        <v>1</v>
      </c>
      <c r="AC79" s="19">
        <v>881</v>
      </c>
      <c r="AD79">
        <v>0</v>
      </c>
      <c r="AE79" s="19">
        <v>0</v>
      </c>
      <c r="AF79">
        <v>0</v>
      </c>
      <c r="AG79" s="19">
        <v>0</v>
      </c>
      <c r="AH79">
        <v>2</v>
      </c>
      <c r="AI79" s="19">
        <v>411</v>
      </c>
      <c r="AJ79">
        <v>1</v>
      </c>
      <c r="AK79" s="19">
        <v>103</v>
      </c>
      <c r="AL79">
        <v>1</v>
      </c>
      <c r="AM79" s="19">
        <v>206</v>
      </c>
      <c r="AN79">
        <v>1</v>
      </c>
      <c r="AO79" s="19">
        <v>220</v>
      </c>
      <c r="AP79">
        <v>1</v>
      </c>
      <c r="AQ79" s="19">
        <v>367</v>
      </c>
    </row>
    <row r="80" spans="1:43" x14ac:dyDescent="0.35">
      <c r="A80" s="18">
        <v>45368</v>
      </c>
      <c r="B80" t="s">
        <v>62</v>
      </c>
      <c r="C80" t="s">
        <v>61</v>
      </c>
      <c r="D80">
        <v>10</v>
      </c>
      <c r="E80">
        <v>5</v>
      </c>
      <c r="F80">
        <v>5</v>
      </c>
      <c r="G80" s="19">
        <v>5238</v>
      </c>
      <c r="H80" s="19">
        <v>4474</v>
      </c>
      <c r="I80" s="19">
        <v>764</v>
      </c>
      <c r="J80" s="19">
        <v>239</v>
      </c>
      <c r="K80" s="19">
        <v>100</v>
      </c>
      <c r="L80" s="19">
        <v>806</v>
      </c>
      <c r="M80" s="19">
        <v>116</v>
      </c>
      <c r="N80" s="19">
        <v>81</v>
      </c>
      <c r="O80" s="19">
        <f t="shared" si="2"/>
        <v>1342</v>
      </c>
      <c r="P80" s="19">
        <f t="shared" si="3"/>
        <v>3896</v>
      </c>
      <c r="Q80" t="s">
        <v>25</v>
      </c>
      <c r="R80" t="s">
        <v>64</v>
      </c>
      <c r="T80">
        <v>1</v>
      </c>
      <c r="U80" s="19">
        <v>1121</v>
      </c>
      <c r="V80">
        <v>0</v>
      </c>
      <c r="W80" s="19">
        <v>0</v>
      </c>
      <c r="X80">
        <v>1</v>
      </c>
      <c r="Y80" s="19">
        <v>1783</v>
      </c>
      <c r="Z80">
        <v>1</v>
      </c>
      <c r="AA80" s="19">
        <v>815</v>
      </c>
      <c r="AB80">
        <v>1</v>
      </c>
      <c r="AC80" s="19">
        <v>611</v>
      </c>
      <c r="AD80">
        <v>0</v>
      </c>
      <c r="AE80" s="19">
        <v>0</v>
      </c>
      <c r="AF80">
        <v>0</v>
      </c>
      <c r="AG80" s="19">
        <v>0</v>
      </c>
      <c r="AH80">
        <v>2</v>
      </c>
      <c r="AI80" s="19">
        <v>285</v>
      </c>
      <c r="AJ80">
        <v>1</v>
      </c>
      <c r="AK80" s="19">
        <v>71</v>
      </c>
      <c r="AL80">
        <v>1</v>
      </c>
      <c r="AM80" s="19">
        <v>143</v>
      </c>
      <c r="AN80">
        <v>1</v>
      </c>
      <c r="AO80" s="19">
        <v>153</v>
      </c>
      <c r="AP80">
        <v>1</v>
      </c>
      <c r="AQ80" s="19">
        <v>255</v>
      </c>
    </row>
    <row r="81" spans="1:43" x14ac:dyDescent="0.35">
      <c r="A81" s="18">
        <v>45369</v>
      </c>
      <c r="B81" t="s">
        <v>52</v>
      </c>
      <c r="C81" t="s">
        <v>53</v>
      </c>
      <c r="D81">
        <v>7</v>
      </c>
      <c r="E81">
        <v>3</v>
      </c>
      <c r="F81">
        <v>4</v>
      </c>
      <c r="G81" s="19">
        <v>3633</v>
      </c>
      <c r="H81" s="19">
        <v>3028</v>
      </c>
      <c r="I81" s="19">
        <v>606</v>
      </c>
      <c r="J81" s="19">
        <v>239</v>
      </c>
      <c r="K81" s="19">
        <v>100</v>
      </c>
      <c r="L81" s="19">
        <v>806</v>
      </c>
      <c r="M81" s="19">
        <v>80</v>
      </c>
      <c r="N81" s="19">
        <v>57</v>
      </c>
      <c r="O81" s="19">
        <f t="shared" si="2"/>
        <v>1282</v>
      </c>
      <c r="P81" s="19">
        <f t="shared" si="3"/>
        <v>2351</v>
      </c>
      <c r="Q81" t="s">
        <v>23</v>
      </c>
      <c r="R81" t="s">
        <v>64</v>
      </c>
      <c r="T81">
        <v>1</v>
      </c>
      <c r="U81" s="19">
        <v>1332</v>
      </c>
      <c r="V81">
        <v>0</v>
      </c>
      <c r="W81" s="19">
        <v>0</v>
      </c>
      <c r="X81">
        <v>0</v>
      </c>
      <c r="Y81" s="19">
        <v>0</v>
      </c>
      <c r="Z81">
        <v>1</v>
      </c>
      <c r="AA81" s="19">
        <v>969</v>
      </c>
      <c r="AB81">
        <v>1</v>
      </c>
      <c r="AC81" s="19">
        <v>727</v>
      </c>
      <c r="AD81">
        <v>0</v>
      </c>
      <c r="AE81" s="19">
        <v>0</v>
      </c>
      <c r="AF81">
        <v>0</v>
      </c>
      <c r="AG81" s="19">
        <v>0</v>
      </c>
      <c r="AH81">
        <v>1</v>
      </c>
      <c r="AI81" s="19">
        <v>170</v>
      </c>
      <c r="AJ81">
        <v>1</v>
      </c>
      <c r="AK81" s="19">
        <v>85</v>
      </c>
      <c r="AL81">
        <v>1</v>
      </c>
      <c r="AM81" s="19">
        <v>170</v>
      </c>
      <c r="AN81">
        <v>1</v>
      </c>
      <c r="AO81" s="19">
        <v>182</v>
      </c>
      <c r="AP81">
        <v>0</v>
      </c>
      <c r="AQ81" s="19">
        <v>0</v>
      </c>
    </row>
    <row r="82" spans="1:43" x14ac:dyDescent="0.35">
      <c r="A82" s="18">
        <v>45370</v>
      </c>
      <c r="B82" t="s">
        <v>56</v>
      </c>
      <c r="C82" t="s">
        <v>53</v>
      </c>
      <c r="D82">
        <v>7</v>
      </c>
      <c r="E82">
        <v>2</v>
      </c>
      <c r="F82">
        <v>5</v>
      </c>
      <c r="G82" s="19">
        <v>3558</v>
      </c>
      <c r="H82" s="19">
        <v>2469</v>
      </c>
      <c r="I82" s="19">
        <v>1089</v>
      </c>
      <c r="J82" s="19">
        <v>239</v>
      </c>
      <c r="K82" s="19">
        <v>100</v>
      </c>
      <c r="L82" s="19">
        <v>806</v>
      </c>
      <c r="M82" s="19">
        <v>78</v>
      </c>
      <c r="N82" s="19">
        <v>57</v>
      </c>
      <c r="O82" s="19">
        <f t="shared" si="2"/>
        <v>1280</v>
      </c>
      <c r="P82" s="19">
        <f t="shared" si="3"/>
        <v>2278</v>
      </c>
      <c r="Q82" t="s">
        <v>23</v>
      </c>
      <c r="R82" t="s">
        <v>64</v>
      </c>
      <c r="T82">
        <v>1</v>
      </c>
      <c r="U82" s="19">
        <v>1597</v>
      </c>
      <c r="V82">
        <v>0</v>
      </c>
      <c r="W82" s="19">
        <v>0</v>
      </c>
      <c r="X82">
        <v>0</v>
      </c>
      <c r="Y82" s="19">
        <v>0</v>
      </c>
      <c r="Z82">
        <v>0</v>
      </c>
      <c r="AA82" s="19">
        <v>0</v>
      </c>
      <c r="AB82">
        <v>1</v>
      </c>
      <c r="AC82" s="19">
        <v>871</v>
      </c>
      <c r="AD82">
        <v>0</v>
      </c>
      <c r="AE82" s="19">
        <v>0</v>
      </c>
      <c r="AF82">
        <v>0</v>
      </c>
      <c r="AG82" s="19">
        <v>0</v>
      </c>
      <c r="AH82">
        <v>1</v>
      </c>
      <c r="AI82" s="19">
        <v>203</v>
      </c>
      <c r="AJ82">
        <v>1</v>
      </c>
      <c r="AK82" s="19">
        <v>102</v>
      </c>
      <c r="AL82">
        <v>1</v>
      </c>
      <c r="AM82" s="19">
        <v>203</v>
      </c>
      <c r="AN82">
        <v>1</v>
      </c>
      <c r="AO82" s="19">
        <v>218</v>
      </c>
      <c r="AP82">
        <v>1</v>
      </c>
      <c r="AQ82" s="19">
        <v>363</v>
      </c>
    </row>
    <row r="83" spans="1:43" x14ac:dyDescent="0.35">
      <c r="A83" s="18">
        <v>45371</v>
      </c>
      <c r="B83" t="s">
        <v>57</v>
      </c>
      <c r="C83" t="s">
        <v>53</v>
      </c>
      <c r="D83">
        <v>7</v>
      </c>
      <c r="E83">
        <v>2</v>
      </c>
      <c r="F83">
        <v>5</v>
      </c>
      <c r="G83" s="19">
        <v>3910</v>
      </c>
      <c r="H83" s="19">
        <v>2713</v>
      </c>
      <c r="I83" s="19">
        <v>1197</v>
      </c>
      <c r="J83" s="19">
        <v>239</v>
      </c>
      <c r="K83" s="19">
        <v>100</v>
      </c>
      <c r="L83" s="19">
        <v>806</v>
      </c>
      <c r="M83" s="19">
        <v>86</v>
      </c>
      <c r="N83" s="19">
        <v>57</v>
      </c>
      <c r="O83" s="19">
        <f t="shared" si="2"/>
        <v>1288</v>
      </c>
      <c r="P83" s="19">
        <f t="shared" si="3"/>
        <v>2622</v>
      </c>
      <c r="Q83" t="s">
        <v>23</v>
      </c>
      <c r="R83" t="s">
        <v>64</v>
      </c>
      <c r="T83">
        <v>1</v>
      </c>
      <c r="U83" s="19">
        <v>1756</v>
      </c>
      <c r="V83">
        <v>0</v>
      </c>
      <c r="W83" s="19">
        <v>0</v>
      </c>
      <c r="X83">
        <v>0</v>
      </c>
      <c r="Y83" s="19">
        <v>0</v>
      </c>
      <c r="Z83">
        <v>0</v>
      </c>
      <c r="AA83" s="19">
        <v>0</v>
      </c>
      <c r="AB83">
        <v>1</v>
      </c>
      <c r="AC83" s="19">
        <v>958</v>
      </c>
      <c r="AD83">
        <v>0</v>
      </c>
      <c r="AE83" s="19">
        <v>0</v>
      </c>
      <c r="AF83">
        <v>0</v>
      </c>
      <c r="AG83" s="19">
        <v>0</v>
      </c>
      <c r="AH83">
        <v>1</v>
      </c>
      <c r="AI83" s="19">
        <v>223</v>
      </c>
      <c r="AJ83">
        <v>1</v>
      </c>
      <c r="AK83" s="19">
        <v>112</v>
      </c>
      <c r="AL83">
        <v>1</v>
      </c>
      <c r="AM83" s="19">
        <v>223</v>
      </c>
      <c r="AN83">
        <v>1</v>
      </c>
      <c r="AO83" s="19">
        <v>239</v>
      </c>
      <c r="AP83">
        <v>1</v>
      </c>
      <c r="AQ83" s="19">
        <v>399</v>
      </c>
    </row>
    <row r="84" spans="1:43" x14ac:dyDescent="0.35">
      <c r="A84" s="18">
        <v>45372</v>
      </c>
      <c r="B84" t="s">
        <v>58</v>
      </c>
      <c r="C84" t="s">
        <v>53</v>
      </c>
      <c r="D84">
        <v>7</v>
      </c>
      <c r="E84">
        <v>2</v>
      </c>
      <c r="F84">
        <v>5</v>
      </c>
      <c r="G84" s="19">
        <v>3840</v>
      </c>
      <c r="H84" s="19">
        <v>2664</v>
      </c>
      <c r="I84" s="19">
        <v>1176</v>
      </c>
      <c r="J84" s="19">
        <v>239</v>
      </c>
      <c r="K84" s="19">
        <v>100</v>
      </c>
      <c r="L84" s="19">
        <v>806</v>
      </c>
      <c r="M84" s="19">
        <v>85</v>
      </c>
      <c r="N84" s="19">
        <v>57</v>
      </c>
      <c r="O84" s="19">
        <f t="shared" si="2"/>
        <v>1287</v>
      </c>
      <c r="P84" s="19">
        <f t="shared" si="3"/>
        <v>2553</v>
      </c>
      <c r="Q84" t="s">
        <v>23</v>
      </c>
      <c r="R84" t="s">
        <v>64</v>
      </c>
      <c r="T84">
        <v>1</v>
      </c>
      <c r="U84" s="19">
        <v>1724</v>
      </c>
      <c r="V84">
        <v>0</v>
      </c>
      <c r="W84" s="19">
        <v>0</v>
      </c>
      <c r="X84">
        <v>0</v>
      </c>
      <c r="Y84" s="19">
        <v>0</v>
      </c>
      <c r="Z84">
        <v>0</v>
      </c>
      <c r="AA84" s="19">
        <v>0</v>
      </c>
      <c r="AB84">
        <v>1</v>
      </c>
      <c r="AC84" s="19">
        <v>940</v>
      </c>
      <c r="AD84">
        <v>0</v>
      </c>
      <c r="AE84" s="19">
        <v>0</v>
      </c>
      <c r="AF84">
        <v>0</v>
      </c>
      <c r="AG84" s="19">
        <v>0</v>
      </c>
      <c r="AH84">
        <v>1</v>
      </c>
      <c r="AI84" s="19">
        <v>219</v>
      </c>
      <c r="AJ84">
        <v>1</v>
      </c>
      <c r="AK84" s="19">
        <v>110</v>
      </c>
      <c r="AL84">
        <v>1</v>
      </c>
      <c r="AM84" s="19">
        <v>219</v>
      </c>
      <c r="AN84">
        <v>1</v>
      </c>
      <c r="AO84" s="19">
        <v>235</v>
      </c>
      <c r="AP84">
        <v>1</v>
      </c>
      <c r="AQ84" s="19">
        <v>392</v>
      </c>
    </row>
    <row r="85" spans="1:43" x14ac:dyDescent="0.35">
      <c r="A85" s="18">
        <v>45373</v>
      </c>
      <c r="B85" t="s">
        <v>59</v>
      </c>
      <c r="C85" t="s">
        <v>53</v>
      </c>
      <c r="D85">
        <v>7</v>
      </c>
      <c r="E85">
        <v>2</v>
      </c>
      <c r="F85">
        <v>5</v>
      </c>
      <c r="G85" s="19">
        <v>3996</v>
      </c>
      <c r="H85" s="19">
        <v>2773</v>
      </c>
      <c r="I85" s="19">
        <v>1223</v>
      </c>
      <c r="J85" s="19">
        <v>239</v>
      </c>
      <c r="K85" s="19">
        <v>100</v>
      </c>
      <c r="L85" s="19">
        <v>806</v>
      </c>
      <c r="M85" s="19">
        <v>88</v>
      </c>
      <c r="N85" s="19">
        <v>57</v>
      </c>
      <c r="O85" s="19">
        <f t="shared" si="2"/>
        <v>1290</v>
      </c>
      <c r="P85" s="19">
        <f t="shared" si="3"/>
        <v>2706</v>
      </c>
      <c r="Q85" t="s">
        <v>23</v>
      </c>
      <c r="R85" t="s">
        <v>64</v>
      </c>
      <c r="T85">
        <v>1</v>
      </c>
      <c r="U85" s="19">
        <v>1794</v>
      </c>
      <c r="V85">
        <v>0</v>
      </c>
      <c r="W85" s="19">
        <v>0</v>
      </c>
      <c r="X85">
        <v>0</v>
      </c>
      <c r="Y85" s="19">
        <v>0</v>
      </c>
      <c r="Z85">
        <v>0</v>
      </c>
      <c r="AA85" s="19">
        <v>0</v>
      </c>
      <c r="AB85">
        <v>1</v>
      </c>
      <c r="AC85" s="19">
        <v>979</v>
      </c>
      <c r="AD85">
        <v>0</v>
      </c>
      <c r="AE85" s="19">
        <v>0</v>
      </c>
      <c r="AF85">
        <v>0</v>
      </c>
      <c r="AG85" s="19">
        <v>0</v>
      </c>
      <c r="AH85">
        <v>1</v>
      </c>
      <c r="AI85" s="19">
        <v>228</v>
      </c>
      <c r="AJ85">
        <v>1</v>
      </c>
      <c r="AK85" s="19">
        <v>114</v>
      </c>
      <c r="AL85">
        <v>1</v>
      </c>
      <c r="AM85" s="19">
        <v>228</v>
      </c>
      <c r="AN85">
        <v>1</v>
      </c>
      <c r="AO85" s="19">
        <v>245</v>
      </c>
      <c r="AP85">
        <v>1</v>
      </c>
      <c r="AQ85" s="19">
        <v>408</v>
      </c>
    </row>
    <row r="86" spans="1:43" x14ac:dyDescent="0.35">
      <c r="A86" s="18">
        <v>45374</v>
      </c>
      <c r="B86" t="s">
        <v>60</v>
      </c>
      <c r="C86" t="s">
        <v>61</v>
      </c>
      <c r="D86">
        <v>9</v>
      </c>
      <c r="E86">
        <v>4</v>
      </c>
      <c r="F86">
        <v>5</v>
      </c>
      <c r="G86" s="19">
        <v>5176</v>
      </c>
      <c r="H86" s="19">
        <v>4007</v>
      </c>
      <c r="I86" s="19">
        <v>1169</v>
      </c>
      <c r="J86" s="19">
        <v>239</v>
      </c>
      <c r="K86" s="19">
        <v>100</v>
      </c>
      <c r="L86" s="19">
        <v>806</v>
      </c>
      <c r="M86" s="19">
        <v>114</v>
      </c>
      <c r="N86" s="19">
        <v>73</v>
      </c>
      <c r="O86" s="19">
        <f t="shared" si="2"/>
        <v>1332</v>
      </c>
      <c r="P86" s="19">
        <f t="shared" si="3"/>
        <v>3844</v>
      </c>
      <c r="Q86" t="s">
        <v>23</v>
      </c>
      <c r="R86" t="s">
        <v>64</v>
      </c>
      <c r="T86">
        <v>1</v>
      </c>
      <c r="U86" s="19">
        <v>1715</v>
      </c>
      <c r="V86">
        <v>0</v>
      </c>
      <c r="W86" s="19">
        <v>0</v>
      </c>
      <c r="X86">
        <v>0</v>
      </c>
      <c r="Y86" s="19">
        <v>0</v>
      </c>
      <c r="Z86">
        <v>1</v>
      </c>
      <c r="AA86" s="19">
        <v>1247</v>
      </c>
      <c r="AB86">
        <v>1</v>
      </c>
      <c r="AC86" s="19">
        <v>935</v>
      </c>
      <c r="AD86">
        <v>0</v>
      </c>
      <c r="AE86" s="19">
        <v>0</v>
      </c>
      <c r="AF86">
        <v>0</v>
      </c>
      <c r="AG86" s="19">
        <v>0</v>
      </c>
      <c r="AH86">
        <v>1</v>
      </c>
      <c r="AI86" s="19">
        <v>218</v>
      </c>
      <c r="AJ86">
        <v>2</v>
      </c>
      <c r="AK86" s="19">
        <v>218</v>
      </c>
      <c r="AL86">
        <v>1</v>
      </c>
      <c r="AM86" s="19">
        <v>218</v>
      </c>
      <c r="AN86">
        <v>1</v>
      </c>
      <c r="AO86" s="19">
        <v>234</v>
      </c>
      <c r="AP86">
        <v>1</v>
      </c>
      <c r="AQ86" s="19">
        <v>390</v>
      </c>
    </row>
    <row r="87" spans="1:43" x14ac:dyDescent="0.35">
      <c r="A87" s="18">
        <v>45375</v>
      </c>
      <c r="B87" t="s">
        <v>62</v>
      </c>
      <c r="C87" t="s">
        <v>61</v>
      </c>
      <c r="D87">
        <v>10</v>
      </c>
      <c r="E87">
        <v>5</v>
      </c>
      <c r="F87">
        <v>5</v>
      </c>
      <c r="G87" s="19">
        <v>4968</v>
      </c>
      <c r="H87" s="19">
        <v>3891</v>
      </c>
      <c r="I87" s="19">
        <v>1077</v>
      </c>
      <c r="J87" s="19">
        <v>239</v>
      </c>
      <c r="K87" s="19">
        <v>100</v>
      </c>
      <c r="L87" s="19">
        <v>806</v>
      </c>
      <c r="M87" s="19">
        <v>110</v>
      </c>
      <c r="N87" s="19">
        <v>81</v>
      </c>
      <c r="O87" s="19">
        <f t="shared" si="2"/>
        <v>1336</v>
      </c>
      <c r="P87" s="19">
        <f t="shared" si="3"/>
        <v>3632</v>
      </c>
      <c r="Q87" t="s">
        <v>23</v>
      </c>
      <c r="R87" t="s">
        <v>64</v>
      </c>
      <c r="T87">
        <v>1</v>
      </c>
      <c r="U87" s="19">
        <v>1579</v>
      </c>
      <c r="V87">
        <v>0</v>
      </c>
      <c r="W87" s="19">
        <v>0</v>
      </c>
      <c r="X87">
        <v>0</v>
      </c>
      <c r="Y87" s="19">
        <v>0</v>
      </c>
      <c r="Z87">
        <v>1</v>
      </c>
      <c r="AA87" s="19">
        <v>1149</v>
      </c>
      <c r="AB87">
        <v>1</v>
      </c>
      <c r="AC87" s="19">
        <v>862</v>
      </c>
      <c r="AD87">
        <v>0</v>
      </c>
      <c r="AE87" s="19">
        <v>0</v>
      </c>
      <c r="AF87">
        <v>0</v>
      </c>
      <c r="AG87" s="19">
        <v>0</v>
      </c>
      <c r="AH87">
        <v>2</v>
      </c>
      <c r="AI87" s="19">
        <v>402</v>
      </c>
      <c r="AJ87">
        <v>2</v>
      </c>
      <c r="AK87" s="19">
        <v>201</v>
      </c>
      <c r="AL87">
        <v>1</v>
      </c>
      <c r="AM87" s="19">
        <v>201</v>
      </c>
      <c r="AN87">
        <v>1</v>
      </c>
      <c r="AO87" s="19">
        <v>215</v>
      </c>
      <c r="AP87">
        <v>1</v>
      </c>
      <c r="AQ87" s="19">
        <v>359</v>
      </c>
    </row>
    <row r="88" spans="1:43" x14ac:dyDescent="0.35">
      <c r="A88" s="18">
        <v>45376</v>
      </c>
      <c r="B88" t="s">
        <v>52</v>
      </c>
      <c r="C88" t="s">
        <v>53</v>
      </c>
      <c r="D88">
        <v>7</v>
      </c>
      <c r="E88">
        <v>2</v>
      </c>
      <c r="F88">
        <v>5</v>
      </c>
      <c r="G88" s="19">
        <v>3562</v>
      </c>
      <c r="H88" s="19">
        <v>2472</v>
      </c>
      <c r="I88" s="19">
        <v>1090</v>
      </c>
      <c r="J88" s="19">
        <v>239</v>
      </c>
      <c r="K88" s="19">
        <v>100</v>
      </c>
      <c r="L88" s="19">
        <v>806</v>
      </c>
      <c r="M88" s="19">
        <v>79</v>
      </c>
      <c r="N88" s="19">
        <v>57</v>
      </c>
      <c r="O88" s="19">
        <f t="shared" si="2"/>
        <v>1281</v>
      </c>
      <c r="P88" s="19">
        <f t="shared" si="3"/>
        <v>2281</v>
      </c>
      <c r="Q88" t="s">
        <v>23</v>
      </c>
      <c r="R88" t="s">
        <v>64</v>
      </c>
      <c r="T88">
        <v>1</v>
      </c>
      <c r="U88" s="19">
        <v>1599</v>
      </c>
      <c r="V88">
        <v>0</v>
      </c>
      <c r="W88" s="19">
        <v>0</v>
      </c>
      <c r="X88">
        <v>0</v>
      </c>
      <c r="Y88" s="19">
        <v>0</v>
      </c>
      <c r="Z88">
        <v>0</v>
      </c>
      <c r="AA88" s="19">
        <v>0</v>
      </c>
      <c r="AB88">
        <v>1</v>
      </c>
      <c r="AC88" s="19">
        <v>872</v>
      </c>
      <c r="AD88">
        <v>0</v>
      </c>
      <c r="AE88" s="19">
        <v>0</v>
      </c>
      <c r="AF88">
        <v>0</v>
      </c>
      <c r="AG88" s="19">
        <v>0</v>
      </c>
      <c r="AH88">
        <v>1</v>
      </c>
      <c r="AI88" s="19">
        <v>204</v>
      </c>
      <c r="AJ88">
        <v>1</v>
      </c>
      <c r="AK88" s="19">
        <v>102</v>
      </c>
      <c r="AL88">
        <v>1</v>
      </c>
      <c r="AM88" s="19">
        <v>204</v>
      </c>
      <c r="AN88">
        <v>1</v>
      </c>
      <c r="AO88" s="19">
        <v>218</v>
      </c>
      <c r="AP88">
        <v>1</v>
      </c>
      <c r="AQ88" s="19">
        <v>363</v>
      </c>
    </row>
    <row r="89" spans="1:43" x14ac:dyDescent="0.35">
      <c r="A89" s="18">
        <v>45377</v>
      </c>
      <c r="B89" t="s">
        <v>56</v>
      </c>
      <c r="C89" t="s">
        <v>53</v>
      </c>
      <c r="D89">
        <v>7</v>
      </c>
      <c r="E89">
        <v>3</v>
      </c>
      <c r="F89">
        <v>4</v>
      </c>
      <c r="G89" s="19">
        <v>3586</v>
      </c>
      <c r="H89" s="19">
        <v>2988</v>
      </c>
      <c r="I89" s="19">
        <v>598</v>
      </c>
      <c r="J89" s="19">
        <v>239</v>
      </c>
      <c r="K89" s="19">
        <v>100</v>
      </c>
      <c r="L89" s="19">
        <v>806</v>
      </c>
      <c r="M89" s="19">
        <v>79</v>
      </c>
      <c r="N89" s="19">
        <v>57</v>
      </c>
      <c r="O89" s="19">
        <f t="shared" si="2"/>
        <v>1281</v>
      </c>
      <c r="P89" s="19">
        <f t="shared" si="3"/>
        <v>2305</v>
      </c>
      <c r="Q89" t="s">
        <v>23</v>
      </c>
      <c r="R89" t="s">
        <v>64</v>
      </c>
      <c r="T89">
        <v>1</v>
      </c>
      <c r="U89" s="19">
        <v>1315</v>
      </c>
      <c r="V89">
        <v>0</v>
      </c>
      <c r="W89" s="19">
        <v>0</v>
      </c>
      <c r="X89">
        <v>0</v>
      </c>
      <c r="Y89" s="19">
        <v>0</v>
      </c>
      <c r="Z89">
        <v>1</v>
      </c>
      <c r="AA89" s="19">
        <v>956</v>
      </c>
      <c r="AB89">
        <v>1</v>
      </c>
      <c r="AC89" s="19">
        <v>717</v>
      </c>
      <c r="AD89">
        <v>0</v>
      </c>
      <c r="AE89" s="19">
        <v>0</v>
      </c>
      <c r="AF89">
        <v>0</v>
      </c>
      <c r="AG89" s="19">
        <v>0</v>
      </c>
      <c r="AH89">
        <v>1</v>
      </c>
      <c r="AI89" s="19">
        <v>167</v>
      </c>
      <c r="AJ89">
        <v>1</v>
      </c>
      <c r="AK89" s="19">
        <v>84</v>
      </c>
      <c r="AL89">
        <v>1</v>
      </c>
      <c r="AM89" s="19">
        <v>167</v>
      </c>
      <c r="AN89">
        <v>1</v>
      </c>
      <c r="AO89" s="19">
        <v>179</v>
      </c>
      <c r="AP89">
        <v>0</v>
      </c>
      <c r="AQ89" s="19">
        <v>0</v>
      </c>
    </row>
    <row r="90" spans="1:43" x14ac:dyDescent="0.35">
      <c r="A90" s="18">
        <v>45378</v>
      </c>
      <c r="B90" t="s">
        <v>57</v>
      </c>
      <c r="C90" t="s">
        <v>53</v>
      </c>
      <c r="D90">
        <v>8</v>
      </c>
      <c r="E90">
        <v>3</v>
      </c>
      <c r="F90">
        <v>5</v>
      </c>
      <c r="G90" s="19">
        <v>4240</v>
      </c>
      <c r="H90" s="19">
        <v>3262</v>
      </c>
      <c r="I90" s="19">
        <v>978</v>
      </c>
      <c r="J90" s="19">
        <v>239</v>
      </c>
      <c r="K90" s="19">
        <v>100</v>
      </c>
      <c r="L90" s="19">
        <v>806</v>
      </c>
      <c r="M90" s="19">
        <v>94</v>
      </c>
      <c r="N90" s="19">
        <v>65</v>
      </c>
      <c r="O90" s="19">
        <f t="shared" si="2"/>
        <v>1304</v>
      </c>
      <c r="P90" s="19">
        <f t="shared" si="3"/>
        <v>2936</v>
      </c>
      <c r="Q90" t="s">
        <v>23</v>
      </c>
      <c r="R90" t="s">
        <v>64</v>
      </c>
      <c r="T90">
        <v>1</v>
      </c>
      <c r="U90" s="19">
        <v>1435</v>
      </c>
      <c r="V90">
        <v>0</v>
      </c>
      <c r="W90" s="19">
        <v>0</v>
      </c>
      <c r="X90">
        <v>0</v>
      </c>
      <c r="Y90" s="19">
        <v>0</v>
      </c>
      <c r="Z90">
        <v>1</v>
      </c>
      <c r="AA90" s="19">
        <v>1044</v>
      </c>
      <c r="AB90">
        <v>1</v>
      </c>
      <c r="AC90" s="19">
        <v>783</v>
      </c>
      <c r="AD90">
        <v>0</v>
      </c>
      <c r="AE90" s="19">
        <v>0</v>
      </c>
      <c r="AF90">
        <v>0</v>
      </c>
      <c r="AG90" s="19">
        <v>0</v>
      </c>
      <c r="AH90">
        <v>1</v>
      </c>
      <c r="AI90" s="19">
        <v>183</v>
      </c>
      <c r="AJ90">
        <v>1</v>
      </c>
      <c r="AK90" s="19">
        <v>91</v>
      </c>
      <c r="AL90">
        <v>1</v>
      </c>
      <c r="AM90" s="19">
        <v>183</v>
      </c>
      <c r="AN90">
        <v>1</v>
      </c>
      <c r="AO90" s="19">
        <v>196</v>
      </c>
      <c r="AP90">
        <v>1</v>
      </c>
      <c r="AQ90" s="19">
        <v>326</v>
      </c>
    </row>
    <row r="91" spans="1:43" x14ac:dyDescent="0.35">
      <c r="A91" s="18">
        <v>45379</v>
      </c>
      <c r="B91" t="s">
        <v>58</v>
      </c>
      <c r="C91" t="s">
        <v>53</v>
      </c>
      <c r="D91">
        <v>8</v>
      </c>
      <c r="E91">
        <v>3</v>
      </c>
      <c r="F91">
        <v>5</v>
      </c>
      <c r="G91" s="19">
        <v>4112</v>
      </c>
      <c r="H91" s="19">
        <v>3163</v>
      </c>
      <c r="I91" s="19">
        <v>949</v>
      </c>
      <c r="J91" s="19">
        <v>239</v>
      </c>
      <c r="K91" s="19">
        <v>100</v>
      </c>
      <c r="L91" s="19">
        <v>806</v>
      </c>
      <c r="M91" s="19">
        <v>91</v>
      </c>
      <c r="N91" s="19">
        <v>65</v>
      </c>
      <c r="O91" s="19">
        <f t="shared" si="2"/>
        <v>1301</v>
      </c>
      <c r="P91" s="19">
        <f t="shared" si="3"/>
        <v>2811</v>
      </c>
      <c r="Q91" t="s">
        <v>23</v>
      </c>
      <c r="R91" t="s">
        <v>64</v>
      </c>
      <c r="T91">
        <v>1</v>
      </c>
      <c r="U91" s="19">
        <v>1392</v>
      </c>
      <c r="V91">
        <v>0</v>
      </c>
      <c r="W91" s="19">
        <v>0</v>
      </c>
      <c r="X91">
        <v>0</v>
      </c>
      <c r="Y91" s="19">
        <v>0</v>
      </c>
      <c r="Z91">
        <v>1</v>
      </c>
      <c r="AA91" s="19">
        <v>1012</v>
      </c>
      <c r="AB91">
        <v>1</v>
      </c>
      <c r="AC91" s="19">
        <v>759</v>
      </c>
      <c r="AD91">
        <v>0</v>
      </c>
      <c r="AE91" s="19">
        <v>0</v>
      </c>
      <c r="AF91">
        <v>0</v>
      </c>
      <c r="AG91" s="19">
        <v>0</v>
      </c>
      <c r="AH91">
        <v>1</v>
      </c>
      <c r="AI91" s="19">
        <v>177</v>
      </c>
      <c r="AJ91">
        <v>1</v>
      </c>
      <c r="AK91" s="19">
        <v>89</v>
      </c>
      <c r="AL91">
        <v>1</v>
      </c>
      <c r="AM91" s="19">
        <v>177</v>
      </c>
      <c r="AN91">
        <v>1</v>
      </c>
      <c r="AO91" s="19">
        <v>190</v>
      </c>
      <c r="AP91">
        <v>1</v>
      </c>
      <c r="AQ91" s="19">
        <v>316</v>
      </c>
    </row>
    <row r="92" spans="1:43" x14ac:dyDescent="0.35">
      <c r="A92" s="18">
        <v>45380</v>
      </c>
      <c r="B92" t="s">
        <v>59</v>
      </c>
      <c r="C92" t="s">
        <v>53</v>
      </c>
      <c r="D92">
        <v>8</v>
      </c>
      <c r="E92">
        <v>3</v>
      </c>
      <c r="F92">
        <v>5</v>
      </c>
      <c r="G92" s="19">
        <v>4318</v>
      </c>
      <c r="H92" s="19">
        <v>3322</v>
      </c>
      <c r="I92" s="19">
        <v>996</v>
      </c>
      <c r="J92" s="19">
        <v>239</v>
      </c>
      <c r="K92" s="19">
        <v>100</v>
      </c>
      <c r="L92" s="19">
        <v>806</v>
      </c>
      <c r="M92" s="19">
        <v>95</v>
      </c>
      <c r="N92" s="19">
        <v>65</v>
      </c>
      <c r="O92" s="19">
        <f t="shared" si="2"/>
        <v>1305</v>
      </c>
      <c r="P92" s="19">
        <f t="shared" si="3"/>
        <v>3013</v>
      </c>
      <c r="Q92" t="s">
        <v>23</v>
      </c>
      <c r="R92" t="s">
        <v>64</v>
      </c>
      <c r="T92">
        <v>1</v>
      </c>
      <c r="U92" s="19">
        <v>1461</v>
      </c>
      <c r="V92">
        <v>0</v>
      </c>
      <c r="W92" s="19">
        <v>0</v>
      </c>
      <c r="X92">
        <v>0</v>
      </c>
      <c r="Y92" s="19">
        <v>0</v>
      </c>
      <c r="Z92">
        <v>1</v>
      </c>
      <c r="AA92" s="19">
        <v>1063</v>
      </c>
      <c r="AB92">
        <v>1</v>
      </c>
      <c r="AC92" s="19">
        <v>797</v>
      </c>
      <c r="AD92">
        <v>0</v>
      </c>
      <c r="AE92" s="19">
        <v>0</v>
      </c>
      <c r="AF92">
        <v>0</v>
      </c>
      <c r="AG92" s="19">
        <v>0</v>
      </c>
      <c r="AH92">
        <v>1</v>
      </c>
      <c r="AI92" s="19">
        <v>186</v>
      </c>
      <c r="AJ92">
        <v>1</v>
      </c>
      <c r="AK92" s="19">
        <v>93</v>
      </c>
      <c r="AL92">
        <v>1</v>
      </c>
      <c r="AM92" s="19">
        <v>186</v>
      </c>
      <c r="AN92">
        <v>1</v>
      </c>
      <c r="AO92" s="19">
        <v>199</v>
      </c>
      <c r="AP92">
        <v>1</v>
      </c>
      <c r="AQ92" s="19">
        <v>332</v>
      </c>
    </row>
    <row r="93" spans="1:43" x14ac:dyDescent="0.35">
      <c r="A93" s="18">
        <v>45381</v>
      </c>
      <c r="B93" t="s">
        <v>60</v>
      </c>
      <c r="C93" t="s">
        <v>61</v>
      </c>
      <c r="D93">
        <v>9</v>
      </c>
      <c r="E93">
        <v>4</v>
      </c>
      <c r="F93">
        <v>5</v>
      </c>
      <c r="G93" s="19">
        <v>4936</v>
      </c>
      <c r="H93" s="19">
        <v>3844</v>
      </c>
      <c r="I93" s="19">
        <v>1092</v>
      </c>
      <c r="J93" s="19">
        <v>239</v>
      </c>
      <c r="K93" s="19">
        <v>100</v>
      </c>
      <c r="L93" s="19">
        <v>806</v>
      </c>
      <c r="M93" s="19">
        <v>109</v>
      </c>
      <c r="N93" s="19">
        <v>73</v>
      </c>
      <c r="O93" s="19">
        <f t="shared" si="2"/>
        <v>1327</v>
      </c>
      <c r="P93" s="19">
        <f t="shared" si="3"/>
        <v>3609</v>
      </c>
      <c r="Q93" t="s">
        <v>23</v>
      </c>
      <c r="R93" t="s">
        <v>64</v>
      </c>
      <c r="T93">
        <v>1</v>
      </c>
      <c r="U93" s="19">
        <v>1602</v>
      </c>
      <c r="V93">
        <v>0</v>
      </c>
      <c r="W93" s="19">
        <v>0</v>
      </c>
      <c r="X93">
        <v>0</v>
      </c>
      <c r="Y93" s="19">
        <v>0</v>
      </c>
      <c r="Z93">
        <v>1</v>
      </c>
      <c r="AA93" s="19">
        <v>1165</v>
      </c>
      <c r="AB93">
        <v>1</v>
      </c>
      <c r="AC93" s="19">
        <v>874</v>
      </c>
      <c r="AD93">
        <v>0</v>
      </c>
      <c r="AE93" s="19">
        <v>0</v>
      </c>
      <c r="AF93">
        <v>0</v>
      </c>
      <c r="AG93" s="19">
        <v>0</v>
      </c>
      <c r="AH93">
        <v>2</v>
      </c>
      <c r="AI93" s="19">
        <v>408</v>
      </c>
      <c r="AJ93">
        <v>1</v>
      </c>
      <c r="AK93" s="19">
        <v>102</v>
      </c>
      <c r="AL93">
        <v>1</v>
      </c>
      <c r="AM93" s="19">
        <v>204</v>
      </c>
      <c r="AN93">
        <v>1</v>
      </c>
      <c r="AO93" s="19">
        <v>218</v>
      </c>
      <c r="AP93">
        <v>1</v>
      </c>
      <c r="AQ93" s="19">
        <v>364</v>
      </c>
    </row>
    <row r="94" spans="1:43" x14ac:dyDescent="0.35">
      <c r="A94" s="18">
        <v>45382</v>
      </c>
      <c r="B94" t="s">
        <v>62</v>
      </c>
      <c r="C94" t="s">
        <v>61</v>
      </c>
      <c r="D94">
        <v>9</v>
      </c>
      <c r="E94">
        <v>4</v>
      </c>
      <c r="F94">
        <v>5</v>
      </c>
      <c r="G94" s="19">
        <v>4793</v>
      </c>
      <c r="H94" s="19">
        <v>3733</v>
      </c>
      <c r="I94" s="19">
        <v>1060</v>
      </c>
      <c r="J94" s="19">
        <v>239</v>
      </c>
      <c r="K94" s="19">
        <v>100</v>
      </c>
      <c r="L94" s="19">
        <v>806</v>
      </c>
      <c r="M94" s="19">
        <v>106</v>
      </c>
      <c r="N94" s="19">
        <v>73</v>
      </c>
      <c r="O94" s="19">
        <f t="shared" si="2"/>
        <v>1324</v>
      </c>
      <c r="P94" s="19">
        <f t="shared" si="3"/>
        <v>3469</v>
      </c>
      <c r="Q94" t="s">
        <v>23</v>
      </c>
      <c r="R94" t="s">
        <v>64</v>
      </c>
      <c r="T94">
        <v>1</v>
      </c>
      <c r="U94" s="19">
        <v>1555</v>
      </c>
      <c r="V94">
        <v>0</v>
      </c>
      <c r="W94" s="19">
        <v>0</v>
      </c>
      <c r="X94">
        <v>0</v>
      </c>
      <c r="Y94" s="19">
        <v>0</v>
      </c>
      <c r="Z94">
        <v>1</v>
      </c>
      <c r="AA94" s="19">
        <v>1131</v>
      </c>
      <c r="AB94">
        <v>1</v>
      </c>
      <c r="AC94" s="19">
        <v>848</v>
      </c>
      <c r="AD94">
        <v>0</v>
      </c>
      <c r="AE94" s="19">
        <v>0</v>
      </c>
      <c r="AF94">
        <v>0</v>
      </c>
      <c r="AG94" s="19">
        <v>0</v>
      </c>
      <c r="AH94">
        <v>2</v>
      </c>
      <c r="AI94" s="19">
        <v>396</v>
      </c>
      <c r="AJ94">
        <v>1</v>
      </c>
      <c r="AK94" s="19">
        <v>99</v>
      </c>
      <c r="AL94">
        <v>1</v>
      </c>
      <c r="AM94" s="19">
        <v>198</v>
      </c>
      <c r="AN94">
        <v>1</v>
      </c>
      <c r="AO94" s="19">
        <v>212</v>
      </c>
      <c r="AP94">
        <v>1</v>
      </c>
      <c r="AQ94" s="19">
        <v>353</v>
      </c>
    </row>
    <row r="95" spans="1:43" x14ac:dyDescent="0.35">
      <c r="A95" s="18">
        <v>45383</v>
      </c>
      <c r="B95" t="s">
        <v>52</v>
      </c>
      <c r="C95" t="s">
        <v>53</v>
      </c>
      <c r="D95">
        <v>7</v>
      </c>
      <c r="E95">
        <v>3</v>
      </c>
      <c r="F95">
        <v>4</v>
      </c>
      <c r="G95" s="19">
        <v>3636</v>
      </c>
      <c r="H95" s="19">
        <v>3030</v>
      </c>
      <c r="I95" s="19">
        <v>606</v>
      </c>
      <c r="J95" s="19">
        <v>253</v>
      </c>
      <c r="K95" s="19">
        <v>107</v>
      </c>
      <c r="L95" s="19">
        <v>833</v>
      </c>
      <c r="M95" s="19">
        <v>80</v>
      </c>
      <c r="N95" s="19">
        <v>57</v>
      </c>
      <c r="O95" s="19">
        <f t="shared" si="2"/>
        <v>1330</v>
      </c>
      <c r="P95" s="19">
        <f t="shared" si="3"/>
        <v>2306</v>
      </c>
      <c r="Q95" t="s">
        <v>23</v>
      </c>
      <c r="R95" t="s">
        <v>64</v>
      </c>
      <c r="T95">
        <v>1</v>
      </c>
      <c r="U95" s="19">
        <v>1333</v>
      </c>
      <c r="V95">
        <v>0</v>
      </c>
      <c r="W95" s="19">
        <v>0</v>
      </c>
      <c r="X95">
        <v>0</v>
      </c>
      <c r="Y95" s="19">
        <v>0</v>
      </c>
      <c r="Z95">
        <v>1</v>
      </c>
      <c r="AA95" s="19">
        <v>970</v>
      </c>
      <c r="AB95">
        <v>1</v>
      </c>
      <c r="AC95" s="19">
        <v>727</v>
      </c>
      <c r="AD95">
        <v>0</v>
      </c>
      <c r="AE95" s="19">
        <v>0</v>
      </c>
      <c r="AF95">
        <v>0</v>
      </c>
      <c r="AG95" s="19">
        <v>0</v>
      </c>
      <c r="AH95">
        <v>1</v>
      </c>
      <c r="AI95" s="19">
        <v>170</v>
      </c>
      <c r="AJ95">
        <v>1</v>
      </c>
      <c r="AK95" s="19">
        <v>85</v>
      </c>
      <c r="AL95">
        <v>1</v>
      </c>
      <c r="AM95" s="19">
        <v>170</v>
      </c>
      <c r="AN95">
        <v>1</v>
      </c>
      <c r="AO95" s="19">
        <v>182</v>
      </c>
      <c r="AP95">
        <v>0</v>
      </c>
      <c r="AQ95" s="19">
        <v>0</v>
      </c>
    </row>
    <row r="96" spans="1:43" x14ac:dyDescent="0.35">
      <c r="A96" s="18">
        <v>45384</v>
      </c>
      <c r="B96" t="s">
        <v>56</v>
      </c>
      <c r="C96" t="s">
        <v>53</v>
      </c>
      <c r="D96">
        <v>7</v>
      </c>
      <c r="E96">
        <v>2</v>
      </c>
      <c r="F96">
        <v>5</v>
      </c>
      <c r="G96" s="19">
        <v>3791</v>
      </c>
      <c r="H96" s="19">
        <v>2630</v>
      </c>
      <c r="I96" s="19">
        <v>1161</v>
      </c>
      <c r="J96" s="19">
        <v>253</v>
      </c>
      <c r="K96" s="19">
        <v>107</v>
      </c>
      <c r="L96" s="19">
        <v>833</v>
      </c>
      <c r="M96" s="19">
        <v>84</v>
      </c>
      <c r="N96" s="19">
        <v>57</v>
      </c>
      <c r="O96" s="19">
        <f t="shared" si="2"/>
        <v>1334</v>
      </c>
      <c r="P96" s="19">
        <f t="shared" si="3"/>
        <v>2457</v>
      </c>
      <c r="Q96" t="s">
        <v>23</v>
      </c>
      <c r="R96" t="s">
        <v>64</v>
      </c>
      <c r="T96">
        <v>1</v>
      </c>
      <c r="U96" s="19">
        <v>1702</v>
      </c>
      <c r="V96">
        <v>0</v>
      </c>
      <c r="W96" s="19">
        <v>0</v>
      </c>
      <c r="X96">
        <v>0</v>
      </c>
      <c r="Y96" s="19">
        <v>0</v>
      </c>
      <c r="Z96">
        <v>0</v>
      </c>
      <c r="AA96" s="19">
        <v>0</v>
      </c>
      <c r="AB96">
        <v>1</v>
      </c>
      <c r="AC96" s="19">
        <v>928</v>
      </c>
      <c r="AD96">
        <v>0</v>
      </c>
      <c r="AE96" s="19">
        <v>0</v>
      </c>
      <c r="AF96">
        <v>0</v>
      </c>
      <c r="AG96" s="19">
        <v>0</v>
      </c>
      <c r="AH96">
        <v>1</v>
      </c>
      <c r="AI96" s="19">
        <v>217</v>
      </c>
      <c r="AJ96">
        <v>1</v>
      </c>
      <c r="AK96" s="19">
        <v>108</v>
      </c>
      <c r="AL96">
        <v>1</v>
      </c>
      <c r="AM96" s="19">
        <v>217</v>
      </c>
      <c r="AN96">
        <v>1</v>
      </c>
      <c r="AO96" s="19">
        <v>232</v>
      </c>
      <c r="AP96">
        <v>1</v>
      </c>
      <c r="AQ96" s="19">
        <v>387</v>
      </c>
    </row>
    <row r="97" spans="1:43" x14ac:dyDescent="0.35">
      <c r="A97" s="18">
        <v>45385</v>
      </c>
      <c r="B97" t="s">
        <v>57</v>
      </c>
      <c r="C97" t="s">
        <v>53</v>
      </c>
      <c r="D97">
        <v>7</v>
      </c>
      <c r="E97">
        <v>2</v>
      </c>
      <c r="F97">
        <v>5</v>
      </c>
      <c r="G97" s="19">
        <v>3702</v>
      </c>
      <c r="H97" s="19">
        <v>2569</v>
      </c>
      <c r="I97" s="19">
        <v>1133</v>
      </c>
      <c r="J97" s="19">
        <v>253</v>
      </c>
      <c r="K97" s="19">
        <v>107</v>
      </c>
      <c r="L97" s="19">
        <v>833</v>
      </c>
      <c r="M97" s="19">
        <v>82</v>
      </c>
      <c r="N97" s="19">
        <v>57</v>
      </c>
      <c r="O97" s="19">
        <f t="shared" si="2"/>
        <v>1332</v>
      </c>
      <c r="P97" s="19">
        <f t="shared" si="3"/>
        <v>2370</v>
      </c>
      <c r="Q97" t="s">
        <v>23</v>
      </c>
      <c r="R97" t="s">
        <v>64</v>
      </c>
      <c r="T97">
        <v>1</v>
      </c>
      <c r="U97" s="19">
        <v>1662</v>
      </c>
      <c r="V97">
        <v>0</v>
      </c>
      <c r="W97" s="19">
        <v>0</v>
      </c>
      <c r="X97">
        <v>0</v>
      </c>
      <c r="Y97" s="19">
        <v>0</v>
      </c>
      <c r="Z97">
        <v>0</v>
      </c>
      <c r="AA97" s="19">
        <v>0</v>
      </c>
      <c r="AB97">
        <v>1</v>
      </c>
      <c r="AC97" s="19">
        <v>907</v>
      </c>
      <c r="AD97">
        <v>0</v>
      </c>
      <c r="AE97" s="19">
        <v>0</v>
      </c>
      <c r="AF97">
        <v>0</v>
      </c>
      <c r="AG97" s="19">
        <v>0</v>
      </c>
      <c r="AH97">
        <v>1</v>
      </c>
      <c r="AI97" s="19">
        <v>212</v>
      </c>
      <c r="AJ97">
        <v>1</v>
      </c>
      <c r="AK97" s="19">
        <v>106</v>
      </c>
      <c r="AL97">
        <v>1</v>
      </c>
      <c r="AM97" s="19">
        <v>212</v>
      </c>
      <c r="AN97">
        <v>1</v>
      </c>
      <c r="AO97" s="19">
        <v>227</v>
      </c>
      <c r="AP97">
        <v>1</v>
      </c>
      <c r="AQ97" s="19">
        <v>378</v>
      </c>
    </row>
    <row r="98" spans="1:43" x14ac:dyDescent="0.35">
      <c r="A98" s="18">
        <v>45386</v>
      </c>
      <c r="B98" t="s">
        <v>58</v>
      </c>
      <c r="C98" t="s">
        <v>53</v>
      </c>
      <c r="D98">
        <v>8</v>
      </c>
      <c r="E98">
        <v>3</v>
      </c>
      <c r="F98">
        <v>5</v>
      </c>
      <c r="G98" s="19">
        <v>4000</v>
      </c>
      <c r="H98" s="19">
        <v>2842</v>
      </c>
      <c r="I98" s="19">
        <v>1158</v>
      </c>
      <c r="J98" s="19">
        <v>253</v>
      </c>
      <c r="K98" s="19">
        <v>107</v>
      </c>
      <c r="L98" s="19">
        <v>833</v>
      </c>
      <c r="M98" s="19">
        <v>88</v>
      </c>
      <c r="N98" s="19">
        <v>65</v>
      </c>
      <c r="O98" s="19">
        <f t="shared" si="2"/>
        <v>1346</v>
      </c>
      <c r="P98" s="19">
        <f t="shared" si="3"/>
        <v>2654</v>
      </c>
      <c r="Q98" t="s">
        <v>23</v>
      </c>
      <c r="R98" t="s">
        <v>64</v>
      </c>
      <c r="T98">
        <v>1</v>
      </c>
      <c r="U98" s="19">
        <v>1699</v>
      </c>
      <c r="V98">
        <v>0</v>
      </c>
      <c r="W98" s="19">
        <v>0</v>
      </c>
      <c r="X98">
        <v>0</v>
      </c>
      <c r="Y98" s="19">
        <v>0</v>
      </c>
      <c r="Z98">
        <v>0</v>
      </c>
      <c r="AA98" s="19">
        <v>0</v>
      </c>
      <c r="AB98">
        <v>1</v>
      </c>
      <c r="AC98" s="19">
        <v>927</v>
      </c>
      <c r="AD98">
        <v>0</v>
      </c>
      <c r="AE98" s="19">
        <v>0</v>
      </c>
      <c r="AF98">
        <v>0</v>
      </c>
      <c r="AG98" s="19">
        <v>0</v>
      </c>
      <c r="AH98">
        <v>2</v>
      </c>
      <c r="AI98" s="19">
        <v>432</v>
      </c>
      <c r="AJ98">
        <v>1</v>
      </c>
      <c r="AK98" s="19">
        <v>108</v>
      </c>
      <c r="AL98">
        <v>1</v>
      </c>
      <c r="AM98" s="19">
        <v>216</v>
      </c>
      <c r="AN98">
        <v>1</v>
      </c>
      <c r="AO98" s="19">
        <v>232</v>
      </c>
      <c r="AP98">
        <v>1</v>
      </c>
      <c r="AQ98" s="19">
        <v>386</v>
      </c>
    </row>
    <row r="99" spans="1:43" x14ac:dyDescent="0.35">
      <c r="A99" s="18">
        <v>45387</v>
      </c>
      <c r="B99" t="s">
        <v>59</v>
      </c>
      <c r="C99" t="s">
        <v>53</v>
      </c>
      <c r="D99">
        <v>7</v>
      </c>
      <c r="E99">
        <v>2</v>
      </c>
      <c r="F99">
        <v>5</v>
      </c>
      <c r="G99" s="19">
        <v>3831</v>
      </c>
      <c r="H99" s="19">
        <v>2658</v>
      </c>
      <c r="I99" s="19">
        <v>1173</v>
      </c>
      <c r="J99" s="19">
        <v>253</v>
      </c>
      <c r="K99" s="19">
        <v>107</v>
      </c>
      <c r="L99" s="19">
        <v>833</v>
      </c>
      <c r="M99" s="19">
        <v>84</v>
      </c>
      <c r="N99" s="19">
        <v>57</v>
      </c>
      <c r="O99" s="19">
        <f t="shared" si="2"/>
        <v>1334</v>
      </c>
      <c r="P99" s="19">
        <f t="shared" si="3"/>
        <v>2497</v>
      </c>
      <c r="Q99" t="s">
        <v>23</v>
      </c>
      <c r="R99" t="s">
        <v>64</v>
      </c>
      <c r="T99">
        <v>1</v>
      </c>
      <c r="U99" s="19">
        <v>1720</v>
      </c>
      <c r="V99">
        <v>0</v>
      </c>
      <c r="W99" s="19">
        <v>0</v>
      </c>
      <c r="X99">
        <v>0</v>
      </c>
      <c r="Y99" s="19">
        <v>0</v>
      </c>
      <c r="Z99">
        <v>0</v>
      </c>
      <c r="AA99" s="19">
        <v>0</v>
      </c>
      <c r="AB99">
        <v>1</v>
      </c>
      <c r="AC99" s="19">
        <v>938</v>
      </c>
      <c r="AD99">
        <v>0</v>
      </c>
      <c r="AE99" s="19">
        <v>0</v>
      </c>
      <c r="AF99">
        <v>0</v>
      </c>
      <c r="AG99" s="19">
        <v>0</v>
      </c>
      <c r="AH99">
        <v>1</v>
      </c>
      <c r="AI99" s="19">
        <v>219</v>
      </c>
      <c r="AJ99">
        <v>1</v>
      </c>
      <c r="AK99" s="19">
        <v>109</v>
      </c>
      <c r="AL99">
        <v>1</v>
      </c>
      <c r="AM99" s="19">
        <v>219</v>
      </c>
      <c r="AN99">
        <v>1</v>
      </c>
      <c r="AO99" s="19">
        <v>235</v>
      </c>
      <c r="AP99">
        <v>1</v>
      </c>
      <c r="AQ99" s="19">
        <v>391</v>
      </c>
    </row>
    <row r="100" spans="1:43" x14ac:dyDescent="0.35">
      <c r="A100" s="18">
        <v>45388</v>
      </c>
      <c r="B100" t="s">
        <v>60</v>
      </c>
      <c r="C100" t="s">
        <v>61</v>
      </c>
      <c r="D100">
        <v>9</v>
      </c>
      <c r="E100">
        <v>3</v>
      </c>
      <c r="F100">
        <v>6</v>
      </c>
      <c r="G100" s="19">
        <v>4882</v>
      </c>
      <c r="H100" s="19">
        <v>2872</v>
      </c>
      <c r="I100" s="19">
        <v>2010</v>
      </c>
      <c r="J100" s="19">
        <v>253</v>
      </c>
      <c r="K100" s="19">
        <v>107</v>
      </c>
      <c r="L100" s="19">
        <v>833</v>
      </c>
      <c r="M100" s="19">
        <v>108</v>
      </c>
      <c r="N100" s="19">
        <v>73</v>
      </c>
      <c r="O100" s="19">
        <f t="shared" si="2"/>
        <v>1374</v>
      </c>
      <c r="P100" s="19">
        <f t="shared" si="3"/>
        <v>3508</v>
      </c>
      <c r="Q100" t="s">
        <v>23</v>
      </c>
      <c r="R100" t="s">
        <v>64</v>
      </c>
      <c r="T100">
        <v>1</v>
      </c>
      <c r="U100" s="19">
        <v>1264</v>
      </c>
      <c r="V100">
        <v>0</v>
      </c>
      <c r="W100" s="19">
        <v>0</v>
      </c>
      <c r="X100">
        <v>0</v>
      </c>
      <c r="Y100" s="19">
        <v>0</v>
      </c>
      <c r="Z100">
        <v>1</v>
      </c>
      <c r="AA100" s="19">
        <v>919</v>
      </c>
      <c r="AB100">
        <v>1</v>
      </c>
      <c r="AC100" s="19">
        <v>689</v>
      </c>
      <c r="AD100">
        <v>1</v>
      </c>
      <c r="AE100" s="19">
        <v>1149</v>
      </c>
      <c r="AF100">
        <v>0</v>
      </c>
      <c r="AG100" s="19">
        <v>0</v>
      </c>
      <c r="AH100">
        <v>1</v>
      </c>
      <c r="AI100" s="19">
        <v>161</v>
      </c>
      <c r="AJ100">
        <v>1</v>
      </c>
      <c r="AK100" s="19">
        <v>80</v>
      </c>
      <c r="AL100">
        <v>1</v>
      </c>
      <c r="AM100" s="19">
        <v>161</v>
      </c>
      <c r="AN100">
        <v>1</v>
      </c>
      <c r="AO100" s="19">
        <v>172</v>
      </c>
      <c r="AP100">
        <v>1</v>
      </c>
      <c r="AQ100" s="19">
        <v>287</v>
      </c>
    </row>
    <row r="101" spans="1:43" x14ac:dyDescent="0.35">
      <c r="A101" s="18">
        <v>45389</v>
      </c>
      <c r="B101" t="s">
        <v>62</v>
      </c>
      <c r="C101" t="s">
        <v>61</v>
      </c>
      <c r="D101">
        <v>8</v>
      </c>
      <c r="E101">
        <v>3</v>
      </c>
      <c r="F101">
        <v>5</v>
      </c>
      <c r="G101" s="19">
        <v>4575</v>
      </c>
      <c r="H101" s="19">
        <v>3519</v>
      </c>
      <c r="I101" s="19">
        <v>1056</v>
      </c>
      <c r="J101" s="19">
        <v>253</v>
      </c>
      <c r="K101" s="19">
        <v>107</v>
      </c>
      <c r="L101" s="19">
        <v>833</v>
      </c>
      <c r="M101" s="19">
        <v>101</v>
      </c>
      <c r="N101" s="19">
        <v>65</v>
      </c>
      <c r="O101" s="19">
        <f t="shared" si="2"/>
        <v>1359</v>
      </c>
      <c r="P101" s="19">
        <f t="shared" si="3"/>
        <v>3216</v>
      </c>
      <c r="Q101" t="s">
        <v>23</v>
      </c>
      <c r="R101" t="s">
        <v>64</v>
      </c>
      <c r="T101">
        <v>1</v>
      </c>
      <c r="U101" s="19">
        <v>1548</v>
      </c>
      <c r="V101">
        <v>0</v>
      </c>
      <c r="W101" s="19">
        <v>0</v>
      </c>
      <c r="X101">
        <v>0</v>
      </c>
      <c r="Y101" s="19">
        <v>0</v>
      </c>
      <c r="Z101">
        <v>1</v>
      </c>
      <c r="AA101" s="19">
        <v>1126</v>
      </c>
      <c r="AB101">
        <v>1</v>
      </c>
      <c r="AC101" s="19">
        <v>845</v>
      </c>
      <c r="AD101">
        <v>0</v>
      </c>
      <c r="AE101" s="19">
        <v>0</v>
      </c>
      <c r="AF101">
        <v>0</v>
      </c>
      <c r="AG101" s="19">
        <v>0</v>
      </c>
      <c r="AH101">
        <v>1</v>
      </c>
      <c r="AI101" s="19">
        <v>197</v>
      </c>
      <c r="AJ101">
        <v>1</v>
      </c>
      <c r="AK101" s="19">
        <v>99</v>
      </c>
      <c r="AL101">
        <v>1</v>
      </c>
      <c r="AM101" s="19">
        <v>197</v>
      </c>
      <c r="AN101">
        <v>1</v>
      </c>
      <c r="AO101" s="19">
        <v>211</v>
      </c>
      <c r="AP101">
        <v>1</v>
      </c>
      <c r="AQ101" s="19">
        <v>352</v>
      </c>
    </row>
    <row r="102" spans="1:43" x14ac:dyDescent="0.35">
      <c r="A102" s="18">
        <v>45390</v>
      </c>
      <c r="B102" t="s">
        <v>52</v>
      </c>
      <c r="C102" t="s">
        <v>53</v>
      </c>
      <c r="D102">
        <v>7</v>
      </c>
      <c r="E102">
        <v>2</v>
      </c>
      <c r="F102">
        <v>5</v>
      </c>
      <c r="G102" s="19">
        <v>3534</v>
      </c>
      <c r="H102" s="19">
        <v>2452</v>
      </c>
      <c r="I102" s="19">
        <v>1082</v>
      </c>
      <c r="J102" s="19">
        <v>253</v>
      </c>
      <c r="K102" s="19">
        <v>107</v>
      </c>
      <c r="L102" s="19">
        <v>833</v>
      </c>
      <c r="M102" s="19">
        <v>78</v>
      </c>
      <c r="N102" s="19">
        <v>57</v>
      </c>
      <c r="O102" s="19">
        <f t="shared" si="2"/>
        <v>1328</v>
      </c>
      <c r="P102" s="19">
        <f t="shared" si="3"/>
        <v>2206</v>
      </c>
      <c r="Q102" t="s">
        <v>23</v>
      </c>
      <c r="R102" t="s">
        <v>64</v>
      </c>
      <c r="T102">
        <v>1</v>
      </c>
      <c r="U102" s="19">
        <v>1587</v>
      </c>
      <c r="V102">
        <v>0</v>
      </c>
      <c r="W102" s="19">
        <v>0</v>
      </c>
      <c r="X102">
        <v>0</v>
      </c>
      <c r="Y102" s="19">
        <v>0</v>
      </c>
      <c r="Z102">
        <v>0</v>
      </c>
      <c r="AA102" s="19">
        <v>0</v>
      </c>
      <c r="AB102">
        <v>1</v>
      </c>
      <c r="AC102" s="19">
        <v>865</v>
      </c>
      <c r="AD102">
        <v>0</v>
      </c>
      <c r="AE102" s="19">
        <v>0</v>
      </c>
      <c r="AF102">
        <v>0</v>
      </c>
      <c r="AG102" s="19">
        <v>0</v>
      </c>
      <c r="AH102">
        <v>1</v>
      </c>
      <c r="AI102" s="19">
        <v>202</v>
      </c>
      <c r="AJ102">
        <v>1</v>
      </c>
      <c r="AK102" s="19">
        <v>101</v>
      </c>
      <c r="AL102">
        <v>1</v>
      </c>
      <c r="AM102" s="19">
        <v>202</v>
      </c>
      <c r="AN102">
        <v>1</v>
      </c>
      <c r="AO102" s="19">
        <v>216</v>
      </c>
      <c r="AP102">
        <v>1</v>
      </c>
      <c r="AQ102" s="19">
        <v>361</v>
      </c>
    </row>
    <row r="103" spans="1:43" x14ac:dyDescent="0.35">
      <c r="A103" s="18">
        <v>45391</v>
      </c>
      <c r="B103" t="s">
        <v>56</v>
      </c>
      <c r="C103" t="s">
        <v>53</v>
      </c>
      <c r="D103">
        <v>7</v>
      </c>
      <c r="E103">
        <v>2</v>
      </c>
      <c r="F103">
        <v>5</v>
      </c>
      <c r="G103" s="19">
        <v>3565</v>
      </c>
      <c r="H103" s="19">
        <v>2474</v>
      </c>
      <c r="I103" s="19">
        <v>1091</v>
      </c>
      <c r="J103" s="19">
        <v>253</v>
      </c>
      <c r="K103" s="19">
        <v>107</v>
      </c>
      <c r="L103" s="19">
        <v>833</v>
      </c>
      <c r="M103" s="19">
        <v>79</v>
      </c>
      <c r="N103" s="19">
        <v>57</v>
      </c>
      <c r="O103" s="19">
        <f t="shared" si="2"/>
        <v>1329</v>
      </c>
      <c r="P103" s="19">
        <f t="shared" si="3"/>
        <v>2236</v>
      </c>
      <c r="Q103" t="s">
        <v>23</v>
      </c>
      <c r="R103" t="s">
        <v>64</v>
      </c>
      <c r="T103">
        <v>1</v>
      </c>
      <c r="U103" s="19">
        <v>1601</v>
      </c>
      <c r="V103">
        <v>0</v>
      </c>
      <c r="W103" s="19">
        <v>0</v>
      </c>
      <c r="X103">
        <v>0</v>
      </c>
      <c r="Y103" s="19">
        <v>0</v>
      </c>
      <c r="Z103">
        <v>0</v>
      </c>
      <c r="AA103" s="19">
        <v>0</v>
      </c>
      <c r="AB103">
        <v>1</v>
      </c>
      <c r="AC103" s="19">
        <v>873</v>
      </c>
      <c r="AD103">
        <v>0</v>
      </c>
      <c r="AE103" s="19">
        <v>0</v>
      </c>
      <c r="AF103">
        <v>0</v>
      </c>
      <c r="AG103" s="19">
        <v>0</v>
      </c>
      <c r="AH103">
        <v>1</v>
      </c>
      <c r="AI103" s="19">
        <v>204</v>
      </c>
      <c r="AJ103">
        <v>1</v>
      </c>
      <c r="AK103" s="19">
        <v>102</v>
      </c>
      <c r="AL103">
        <v>1</v>
      </c>
      <c r="AM103" s="19">
        <v>204</v>
      </c>
      <c r="AN103">
        <v>1</v>
      </c>
      <c r="AO103" s="19">
        <v>218</v>
      </c>
      <c r="AP103">
        <v>1</v>
      </c>
      <c r="AQ103" s="19">
        <v>364</v>
      </c>
    </row>
    <row r="104" spans="1:43" x14ac:dyDescent="0.35">
      <c r="A104" s="18">
        <v>45392</v>
      </c>
      <c r="B104" t="s">
        <v>57</v>
      </c>
      <c r="C104" t="s">
        <v>53</v>
      </c>
      <c r="D104">
        <v>9</v>
      </c>
      <c r="E104">
        <v>4</v>
      </c>
      <c r="F104">
        <v>5</v>
      </c>
      <c r="G104" s="19">
        <v>4757</v>
      </c>
      <c r="H104" s="19">
        <v>3705</v>
      </c>
      <c r="I104" s="19">
        <v>1052</v>
      </c>
      <c r="J104" s="19">
        <v>253</v>
      </c>
      <c r="K104" s="19">
        <v>107</v>
      </c>
      <c r="L104" s="19">
        <v>833</v>
      </c>
      <c r="M104" s="19">
        <v>105</v>
      </c>
      <c r="N104" s="19">
        <v>73</v>
      </c>
      <c r="O104" s="19">
        <f t="shared" si="2"/>
        <v>1371</v>
      </c>
      <c r="P104" s="19">
        <f t="shared" si="3"/>
        <v>3386</v>
      </c>
      <c r="Q104" t="s">
        <v>23</v>
      </c>
      <c r="R104" t="s">
        <v>64</v>
      </c>
      <c r="T104">
        <v>1</v>
      </c>
      <c r="U104" s="19">
        <v>1544</v>
      </c>
      <c r="V104">
        <v>0</v>
      </c>
      <c r="W104" s="19">
        <v>0</v>
      </c>
      <c r="X104">
        <v>0</v>
      </c>
      <c r="Y104" s="19">
        <v>0</v>
      </c>
      <c r="Z104">
        <v>1</v>
      </c>
      <c r="AA104" s="19">
        <v>1123</v>
      </c>
      <c r="AB104">
        <v>1</v>
      </c>
      <c r="AC104" s="19">
        <v>842</v>
      </c>
      <c r="AD104">
        <v>0</v>
      </c>
      <c r="AE104" s="19">
        <v>0</v>
      </c>
      <c r="AF104">
        <v>0</v>
      </c>
      <c r="AG104" s="19">
        <v>0</v>
      </c>
      <c r="AH104">
        <v>2</v>
      </c>
      <c r="AI104" s="19">
        <v>393</v>
      </c>
      <c r="AJ104">
        <v>1</v>
      </c>
      <c r="AK104" s="19">
        <v>98</v>
      </c>
      <c r="AL104">
        <v>1</v>
      </c>
      <c r="AM104" s="19">
        <v>196</v>
      </c>
      <c r="AN104">
        <v>1</v>
      </c>
      <c r="AO104" s="19">
        <v>210</v>
      </c>
      <c r="AP104">
        <v>1</v>
      </c>
      <c r="AQ104" s="19">
        <v>351</v>
      </c>
    </row>
    <row r="105" spans="1:43" x14ac:dyDescent="0.35">
      <c r="A105" s="18">
        <v>45393</v>
      </c>
      <c r="B105" t="s">
        <v>58</v>
      </c>
      <c r="C105" t="s">
        <v>53</v>
      </c>
      <c r="D105">
        <v>9</v>
      </c>
      <c r="E105">
        <v>3</v>
      </c>
      <c r="F105">
        <v>6</v>
      </c>
      <c r="G105" s="19">
        <v>4858</v>
      </c>
      <c r="H105" s="19">
        <v>2858</v>
      </c>
      <c r="I105" s="19">
        <v>2000</v>
      </c>
      <c r="J105" s="19">
        <v>253</v>
      </c>
      <c r="K105" s="19">
        <v>107</v>
      </c>
      <c r="L105" s="19">
        <v>833</v>
      </c>
      <c r="M105" s="19">
        <v>107</v>
      </c>
      <c r="N105" s="19">
        <v>73</v>
      </c>
      <c r="O105" s="19">
        <f t="shared" si="2"/>
        <v>1373</v>
      </c>
      <c r="P105" s="19">
        <f t="shared" si="3"/>
        <v>3485</v>
      </c>
      <c r="Q105" t="s">
        <v>23</v>
      </c>
      <c r="R105" t="s">
        <v>64</v>
      </c>
      <c r="T105">
        <v>1</v>
      </c>
      <c r="U105" s="19">
        <v>1257</v>
      </c>
      <c r="V105">
        <v>0</v>
      </c>
      <c r="W105" s="19">
        <v>0</v>
      </c>
      <c r="X105">
        <v>0</v>
      </c>
      <c r="Y105" s="19">
        <v>0</v>
      </c>
      <c r="Z105">
        <v>1</v>
      </c>
      <c r="AA105" s="19">
        <v>914</v>
      </c>
      <c r="AB105">
        <v>1</v>
      </c>
      <c r="AC105" s="19">
        <v>686</v>
      </c>
      <c r="AD105">
        <v>1</v>
      </c>
      <c r="AE105" s="19">
        <v>1143</v>
      </c>
      <c r="AF105">
        <v>0</v>
      </c>
      <c r="AG105" s="19">
        <v>0</v>
      </c>
      <c r="AH105">
        <v>1</v>
      </c>
      <c r="AI105" s="19">
        <v>160</v>
      </c>
      <c r="AJ105">
        <v>1</v>
      </c>
      <c r="AK105" s="19">
        <v>80</v>
      </c>
      <c r="AL105">
        <v>1</v>
      </c>
      <c r="AM105" s="19">
        <v>160</v>
      </c>
      <c r="AN105">
        <v>1</v>
      </c>
      <c r="AO105" s="19">
        <v>171</v>
      </c>
      <c r="AP105">
        <v>1</v>
      </c>
      <c r="AQ105" s="19">
        <v>286</v>
      </c>
    </row>
    <row r="106" spans="1:43" x14ac:dyDescent="0.35">
      <c r="A106" s="18">
        <v>45394</v>
      </c>
      <c r="B106" t="s">
        <v>59</v>
      </c>
      <c r="C106" t="s">
        <v>53</v>
      </c>
      <c r="D106">
        <v>9</v>
      </c>
      <c r="E106">
        <v>3</v>
      </c>
      <c r="F106">
        <v>6</v>
      </c>
      <c r="G106" s="19">
        <v>4748</v>
      </c>
      <c r="H106" s="19">
        <v>2434</v>
      </c>
      <c r="I106" s="19">
        <v>2314</v>
      </c>
      <c r="J106" s="19">
        <v>253</v>
      </c>
      <c r="K106" s="19">
        <v>107</v>
      </c>
      <c r="L106" s="19">
        <v>833</v>
      </c>
      <c r="M106" s="19">
        <v>105</v>
      </c>
      <c r="N106" s="19">
        <v>73</v>
      </c>
      <c r="O106" s="19">
        <f t="shared" si="2"/>
        <v>1371</v>
      </c>
      <c r="P106" s="19">
        <f t="shared" si="3"/>
        <v>3377</v>
      </c>
      <c r="Q106" t="s">
        <v>23</v>
      </c>
      <c r="R106" t="s">
        <v>64</v>
      </c>
      <c r="T106">
        <v>1</v>
      </c>
      <c r="U106" s="19">
        <v>1455</v>
      </c>
      <c r="V106">
        <v>0</v>
      </c>
      <c r="W106" s="19">
        <v>0</v>
      </c>
      <c r="X106">
        <v>0</v>
      </c>
      <c r="Y106" s="19">
        <v>0</v>
      </c>
      <c r="Z106">
        <v>0</v>
      </c>
      <c r="AA106" s="19">
        <v>0</v>
      </c>
      <c r="AB106">
        <v>1</v>
      </c>
      <c r="AC106" s="19">
        <v>794</v>
      </c>
      <c r="AD106">
        <v>1</v>
      </c>
      <c r="AE106" s="19">
        <v>1323</v>
      </c>
      <c r="AF106">
        <v>0</v>
      </c>
      <c r="AG106" s="19">
        <v>0</v>
      </c>
      <c r="AH106">
        <v>2</v>
      </c>
      <c r="AI106" s="19">
        <v>370</v>
      </c>
      <c r="AJ106">
        <v>1</v>
      </c>
      <c r="AK106" s="19">
        <v>93</v>
      </c>
      <c r="AL106">
        <v>1</v>
      </c>
      <c r="AM106" s="19">
        <v>185</v>
      </c>
      <c r="AN106">
        <v>1</v>
      </c>
      <c r="AO106" s="19">
        <v>198</v>
      </c>
      <c r="AP106">
        <v>1</v>
      </c>
      <c r="AQ106" s="19">
        <v>331</v>
      </c>
    </row>
    <row r="107" spans="1:43" x14ac:dyDescent="0.35">
      <c r="A107" s="18">
        <v>45395</v>
      </c>
      <c r="B107" t="s">
        <v>60</v>
      </c>
      <c r="C107" t="s">
        <v>61</v>
      </c>
      <c r="D107">
        <v>11</v>
      </c>
      <c r="E107">
        <v>5</v>
      </c>
      <c r="F107">
        <v>6</v>
      </c>
      <c r="G107" s="19">
        <v>5643</v>
      </c>
      <c r="H107" s="19">
        <v>3463</v>
      </c>
      <c r="I107" s="19">
        <v>2180</v>
      </c>
      <c r="J107" s="19">
        <v>253</v>
      </c>
      <c r="K107" s="19">
        <v>107</v>
      </c>
      <c r="L107" s="19">
        <v>833</v>
      </c>
      <c r="M107" s="19">
        <v>124</v>
      </c>
      <c r="N107" s="19">
        <v>89</v>
      </c>
      <c r="O107" s="19">
        <f t="shared" si="2"/>
        <v>1406</v>
      </c>
      <c r="P107" s="19">
        <f t="shared" si="3"/>
        <v>4237</v>
      </c>
      <c r="Q107" t="s">
        <v>23</v>
      </c>
      <c r="R107" t="s">
        <v>64</v>
      </c>
      <c r="T107">
        <v>1</v>
      </c>
      <c r="U107" s="19">
        <v>1370</v>
      </c>
      <c r="V107">
        <v>0</v>
      </c>
      <c r="W107" s="19">
        <v>0</v>
      </c>
      <c r="X107">
        <v>0</v>
      </c>
      <c r="Y107" s="19">
        <v>0</v>
      </c>
      <c r="Z107">
        <v>1</v>
      </c>
      <c r="AA107" s="19">
        <v>997</v>
      </c>
      <c r="AB107">
        <v>1</v>
      </c>
      <c r="AC107" s="19">
        <v>747</v>
      </c>
      <c r="AD107">
        <v>1</v>
      </c>
      <c r="AE107" s="19">
        <v>1246</v>
      </c>
      <c r="AF107">
        <v>0</v>
      </c>
      <c r="AG107" s="19">
        <v>0</v>
      </c>
      <c r="AH107">
        <v>2</v>
      </c>
      <c r="AI107" s="19">
        <v>349</v>
      </c>
      <c r="AJ107">
        <v>1</v>
      </c>
      <c r="AK107" s="19">
        <v>87</v>
      </c>
      <c r="AL107">
        <v>2</v>
      </c>
      <c r="AM107" s="19">
        <v>349</v>
      </c>
      <c r="AN107">
        <v>1</v>
      </c>
      <c r="AO107" s="19">
        <v>187</v>
      </c>
      <c r="AP107">
        <v>1</v>
      </c>
      <c r="AQ107" s="19">
        <v>311</v>
      </c>
    </row>
    <row r="108" spans="1:43" x14ac:dyDescent="0.35">
      <c r="A108" s="18">
        <v>45396</v>
      </c>
      <c r="B108" t="s">
        <v>62</v>
      </c>
      <c r="C108" t="s">
        <v>61</v>
      </c>
      <c r="D108">
        <v>10</v>
      </c>
      <c r="E108">
        <v>5</v>
      </c>
      <c r="F108">
        <v>5</v>
      </c>
      <c r="G108" s="19">
        <v>5104</v>
      </c>
      <c r="H108" s="19">
        <v>3998</v>
      </c>
      <c r="I108" s="19">
        <v>1106</v>
      </c>
      <c r="J108" s="19">
        <v>253</v>
      </c>
      <c r="K108" s="19">
        <v>107</v>
      </c>
      <c r="L108" s="19">
        <v>833</v>
      </c>
      <c r="M108" s="19">
        <v>113</v>
      </c>
      <c r="N108" s="19">
        <v>81</v>
      </c>
      <c r="O108" s="19">
        <f t="shared" si="2"/>
        <v>1387</v>
      </c>
      <c r="P108" s="19">
        <f t="shared" si="3"/>
        <v>3717</v>
      </c>
      <c r="Q108" t="s">
        <v>23</v>
      </c>
      <c r="R108" t="s">
        <v>64</v>
      </c>
      <c r="T108">
        <v>1</v>
      </c>
      <c r="U108" s="19">
        <v>1623</v>
      </c>
      <c r="V108">
        <v>0</v>
      </c>
      <c r="W108" s="19">
        <v>0</v>
      </c>
      <c r="X108">
        <v>0</v>
      </c>
      <c r="Y108" s="19">
        <v>0</v>
      </c>
      <c r="Z108">
        <v>1</v>
      </c>
      <c r="AA108" s="19">
        <v>1180</v>
      </c>
      <c r="AB108">
        <v>1</v>
      </c>
      <c r="AC108" s="19">
        <v>885</v>
      </c>
      <c r="AD108">
        <v>0</v>
      </c>
      <c r="AE108" s="19">
        <v>0</v>
      </c>
      <c r="AF108">
        <v>0</v>
      </c>
      <c r="AG108" s="19">
        <v>0</v>
      </c>
      <c r="AH108">
        <v>2</v>
      </c>
      <c r="AI108" s="19">
        <v>413</v>
      </c>
      <c r="AJ108">
        <v>2</v>
      </c>
      <c r="AK108" s="19">
        <v>207</v>
      </c>
      <c r="AL108">
        <v>1</v>
      </c>
      <c r="AM108" s="19">
        <v>207</v>
      </c>
      <c r="AN108">
        <v>1</v>
      </c>
      <c r="AO108" s="19">
        <v>221</v>
      </c>
      <c r="AP108">
        <v>1</v>
      </c>
      <c r="AQ108" s="19">
        <v>369</v>
      </c>
    </row>
    <row r="109" spans="1:43" x14ac:dyDescent="0.35">
      <c r="A109" s="18">
        <v>45397</v>
      </c>
      <c r="B109" t="s">
        <v>52</v>
      </c>
      <c r="C109" t="s">
        <v>53</v>
      </c>
      <c r="D109">
        <v>7</v>
      </c>
      <c r="E109">
        <v>2</v>
      </c>
      <c r="F109">
        <v>5</v>
      </c>
      <c r="G109" s="19">
        <v>4056</v>
      </c>
      <c r="H109" s="19">
        <v>2814</v>
      </c>
      <c r="I109" s="19">
        <v>1242</v>
      </c>
      <c r="J109" s="19">
        <v>253</v>
      </c>
      <c r="K109" s="19">
        <v>107</v>
      </c>
      <c r="L109" s="19">
        <v>833</v>
      </c>
      <c r="M109" s="19">
        <v>89</v>
      </c>
      <c r="N109" s="19">
        <v>57</v>
      </c>
      <c r="O109" s="19">
        <f t="shared" si="2"/>
        <v>1339</v>
      </c>
      <c r="P109" s="19">
        <f t="shared" si="3"/>
        <v>2717</v>
      </c>
      <c r="Q109" t="s">
        <v>23</v>
      </c>
      <c r="R109" t="s">
        <v>64</v>
      </c>
      <c r="T109">
        <v>1</v>
      </c>
      <c r="U109" s="19">
        <v>1821</v>
      </c>
      <c r="V109">
        <v>0</v>
      </c>
      <c r="W109" s="19">
        <v>0</v>
      </c>
      <c r="X109">
        <v>0</v>
      </c>
      <c r="Y109" s="19">
        <v>0</v>
      </c>
      <c r="Z109">
        <v>0</v>
      </c>
      <c r="AA109" s="19">
        <v>0</v>
      </c>
      <c r="AB109">
        <v>1</v>
      </c>
      <c r="AC109" s="19">
        <v>993</v>
      </c>
      <c r="AD109">
        <v>0</v>
      </c>
      <c r="AE109" s="19">
        <v>0</v>
      </c>
      <c r="AF109">
        <v>0</v>
      </c>
      <c r="AG109" s="19">
        <v>0</v>
      </c>
      <c r="AH109">
        <v>1</v>
      </c>
      <c r="AI109" s="19">
        <v>232</v>
      </c>
      <c r="AJ109">
        <v>1</v>
      </c>
      <c r="AK109" s="19">
        <v>116</v>
      </c>
      <c r="AL109">
        <v>1</v>
      </c>
      <c r="AM109" s="19">
        <v>232</v>
      </c>
      <c r="AN109">
        <v>1</v>
      </c>
      <c r="AO109" s="19">
        <v>248</v>
      </c>
      <c r="AP109">
        <v>1</v>
      </c>
      <c r="AQ109" s="19">
        <v>414</v>
      </c>
    </row>
    <row r="110" spans="1:43" x14ac:dyDescent="0.35">
      <c r="A110" s="18">
        <v>45398</v>
      </c>
      <c r="B110" t="s">
        <v>56</v>
      </c>
      <c r="C110" t="s">
        <v>53</v>
      </c>
      <c r="D110">
        <v>8</v>
      </c>
      <c r="E110">
        <v>3</v>
      </c>
      <c r="F110">
        <v>5</v>
      </c>
      <c r="G110" s="19">
        <v>4115</v>
      </c>
      <c r="H110" s="19">
        <v>3165</v>
      </c>
      <c r="I110" s="19">
        <v>950</v>
      </c>
      <c r="J110" s="19">
        <v>253</v>
      </c>
      <c r="K110" s="19">
        <v>107</v>
      </c>
      <c r="L110" s="19">
        <v>833</v>
      </c>
      <c r="M110" s="19">
        <v>91</v>
      </c>
      <c r="N110" s="19">
        <v>65</v>
      </c>
      <c r="O110" s="19">
        <f t="shared" si="2"/>
        <v>1349</v>
      </c>
      <c r="P110" s="19">
        <f t="shared" si="3"/>
        <v>2766</v>
      </c>
      <c r="Q110" t="s">
        <v>23</v>
      </c>
      <c r="R110" t="s">
        <v>64</v>
      </c>
      <c r="T110">
        <v>1</v>
      </c>
      <c r="U110" s="19">
        <v>1393</v>
      </c>
      <c r="V110">
        <v>0</v>
      </c>
      <c r="W110" s="19">
        <v>0</v>
      </c>
      <c r="X110">
        <v>0</v>
      </c>
      <c r="Y110" s="19">
        <v>0</v>
      </c>
      <c r="Z110">
        <v>1</v>
      </c>
      <c r="AA110" s="19">
        <v>1013</v>
      </c>
      <c r="AB110">
        <v>1</v>
      </c>
      <c r="AC110" s="19">
        <v>760</v>
      </c>
      <c r="AD110">
        <v>0</v>
      </c>
      <c r="AE110" s="19">
        <v>0</v>
      </c>
      <c r="AF110">
        <v>0</v>
      </c>
      <c r="AG110" s="19">
        <v>0</v>
      </c>
      <c r="AH110">
        <v>1</v>
      </c>
      <c r="AI110" s="19">
        <v>177</v>
      </c>
      <c r="AJ110">
        <v>1</v>
      </c>
      <c r="AK110" s="19">
        <v>89</v>
      </c>
      <c r="AL110">
        <v>1</v>
      </c>
      <c r="AM110" s="19">
        <v>177</v>
      </c>
      <c r="AN110">
        <v>1</v>
      </c>
      <c r="AO110" s="19">
        <v>190</v>
      </c>
      <c r="AP110">
        <v>1</v>
      </c>
      <c r="AQ110" s="19">
        <v>317</v>
      </c>
    </row>
    <row r="111" spans="1:43" x14ac:dyDescent="0.35">
      <c r="A111" s="18">
        <v>45399</v>
      </c>
      <c r="B111" t="s">
        <v>57</v>
      </c>
      <c r="C111" t="s">
        <v>53</v>
      </c>
      <c r="D111">
        <v>8</v>
      </c>
      <c r="E111">
        <v>3</v>
      </c>
      <c r="F111">
        <v>5</v>
      </c>
      <c r="G111" s="19">
        <v>4311</v>
      </c>
      <c r="H111" s="19">
        <v>3063</v>
      </c>
      <c r="I111" s="19">
        <v>1248</v>
      </c>
      <c r="J111" s="19">
        <v>253</v>
      </c>
      <c r="K111" s="19">
        <v>107</v>
      </c>
      <c r="L111" s="19">
        <v>833</v>
      </c>
      <c r="M111" s="19">
        <v>95</v>
      </c>
      <c r="N111" s="19">
        <v>65</v>
      </c>
      <c r="O111" s="19">
        <f t="shared" si="2"/>
        <v>1353</v>
      </c>
      <c r="P111" s="19">
        <f t="shared" si="3"/>
        <v>2958</v>
      </c>
      <c r="Q111" t="s">
        <v>23</v>
      </c>
      <c r="R111" t="s">
        <v>64</v>
      </c>
      <c r="T111">
        <v>1</v>
      </c>
      <c r="U111" s="19">
        <v>1831</v>
      </c>
      <c r="V111">
        <v>0</v>
      </c>
      <c r="W111" s="19">
        <v>0</v>
      </c>
      <c r="X111">
        <v>0</v>
      </c>
      <c r="Y111" s="19">
        <v>0</v>
      </c>
      <c r="Z111">
        <v>0</v>
      </c>
      <c r="AA111" s="19">
        <v>0</v>
      </c>
      <c r="AB111">
        <v>1</v>
      </c>
      <c r="AC111" s="19">
        <v>999</v>
      </c>
      <c r="AD111">
        <v>0</v>
      </c>
      <c r="AE111" s="19">
        <v>0</v>
      </c>
      <c r="AF111">
        <v>0</v>
      </c>
      <c r="AG111" s="19">
        <v>0</v>
      </c>
      <c r="AH111">
        <v>2</v>
      </c>
      <c r="AI111" s="19">
        <v>466</v>
      </c>
      <c r="AJ111">
        <v>1</v>
      </c>
      <c r="AK111" s="19">
        <v>117</v>
      </c>
      <c r="AL111">
        <v>1</v>
      </c>
      <c r="AM111" s="19">
        <v>233</v>
      </c>
      <c r="AN111">
        <v>1</v>
      </c>
      <c r="AO111" s="19">
        <v>250</v>
      </c>
      <c r="AP111">
        <v>1</v>
      </c>
      <c r="AQ111" s="19">
        <v>416</v>
      </c>
    </row>
    <row r="112" spans="1:43" x14ac:dyDescent="0.35">
      <c r="A112" s="18">
        <v>45400</v>
      </c>
      <c r="B112" t="s">
        <v>58</v>
      </c>
      <c r="C112" t="s">
        <v>53</v>
      </c>
      <c r="D112">
        <v>9</v>
      </c>
      <c r="E112">
        <v>4</v>
      </c>
      <c r="F112">
        <v>5</v>
      </c>
      <c r="G112" s="19">
        <v>4871</v>
      </c>
      <c r="H112" s="19">
        <v>3793</v>
      </c>
      <c r="I112" s="19">
        <v>1078</v>
      </c>
      <c r="J112" s="19">
        <v>253</v>
      </c>
      <c r="K112" s="19">
        <v>107</v>
      </c>
      <c r="L112" s="19">
        <v>833</v>
      </c>
      <c r="M112" s="19">
        <v>107</v>
      </c>
      <c r="N112" s="19">
        <v>73</v>
      </c>
      <c r="O112" s="19">
        <f t="shared" si="2"/>
        <v>1373</v>
      </c>
      <c r="P112" s="19">
        <f t="shared" si="3"/>
        <v>3498</v>
      </c>
      <c r="Q112" t="s">
        <v>23</v>
      </c>
      <c r="R112" t="s">
        <v>64</v>
      </c>
      <c r="T112">
        <v>1</v>
      </c>
      <c r="U112" s="19">
        <v>1581</v>
      </c>
      <c r="V112">
        <v>0</v>
      </c>
      <c r="W112" s="19">
        <v>0</v>
      </c>
      <c r="X112">
        <v>0</v>
      </c>
      <c r="Y112" s="19">
        <v>0</v>
      </c>
      <c r="Z112">
        <v>1</v>
      </c>
      <c r="AA112" s="19">
        <v>1150</v>
      </c>
      <c r="AB112">
        <v>1</v>
      </c>
      <c r="AC112" s="19">
        <v>862</v>
      </c>
      <c r="AD112">
        <v>0</v>
      </c>
      <c r="AE112" s="19">
        <v>0</v>
      </c>
      <c r="AF112">
        <v>0</v>
      </c>
      <c r="AG112" s="19">
        <v>0</v>
      </c>
      <c r="AH112">
        <v>2</v>
      </c>
      <c r="AI112" s="19">
        <v>402</v>
      </c>
      <c r="AJ112">
        <v>1</v>
      </c>
      <c r="AK112" s="19">
        <v>101</v>
      </c>
      <c r="AL112">
        <v>1</v>
      </c>
      <c r="AM112" s="19">
        <v>201</v>
      </c>
      <c r="AN112">
        <v>1</v>
      </c>
      <c r="AO112" s="19">
        <v>216</v>
      </c>
      <c r="AP112">
        <v>1</v>
      </c>
      <c r="AQ112" s="19">
        <v>359</v>
      </c>
    </row>
    <row r="113" spans="1:43" x14ac:dyDescent="0.35">
      <c r="A113" s="18">
        <v>45401</v>
      </c>
      <c r="B113" t="s">
        <v>59</v>
      </c>
      <c r="C113" t="s">
        <v>53</v>
      </c>
      <c r="D113">
        <v>9</v>
      </c>
      <c r="E113">
        <v>4</v>
      </c>
      <c r="F113">
        <v>5</v>
      </c>
      <c r="G113" s="19">
        <v>4717</v>
      </c>
      <c r="H113" s="19">
        <v>3673</v>
      </c>
      <c r="I113" s="19">
        <v>1044</v>
      </c>
      <c r="J113" s="19">
        <v>253</v>
      </c>
      <c r="K113" s="19">
        <v>107</v>
      </c>
      <c r="L113" s="19">
        <v>833</v>
      </c>
      <c r="M113" s="19">
        <v>104</v>
      </c>
      <c r="N113" s="19">
        <v>73</v>
      </c>
      <c r="O113" s="19">
        <f t="shared" si="2"/>
        <v>1370</v>
      </c>
      <c r="P113" s="19">
        <f t="shared" si="3"/>
        <v>3347</v>
      </c>
      <c r="Q113" t="s">
        <v>23</v>
      </c>
      <c r="R113" t="s">
        <v>64</v>
      </c>
      <c r="T113">
        <v>1</v>
      </c>
      <c r="U113" s="19">
        <v>1531</v>
      </c>
      <c r="V113">
        <v>0</v>
      </c>
      <c r="W113" s="19">
        <v>0</v>
      </c>
      <c r="X113">
        <v>0</v>
      </c>
      <c r="Y113" s="19">
        <v>0</v>
      </c>
      <c r="Z113">
        <v>1</v>
      </c>
      <c r="AA113" s="19">
        <v>1113</v>
      </c>
      <c r="AB113">
        <v>1</v>
      </c>
      <c r="AC113" s="19">
        <v>835</v>
      </c>
      <c r="AD113">
        <v>0</v>
      </c>
      <c r="AE113" s="19">
        <v>0</v>
      </c>
      <c r="AF113">
        <v>0</v>
      </c>
      <c r="AG113" s="19">
        <v>0</v>
      </c>
      <c r="AH113">
        <v>2</v>
      </c>
      <c r="AI113" s="19">
        <v>390</v>
      </c>
      <c r="AJ113">
        <v>1</v>
      </c>
      <c r="AK113" s="19">
        <v>97</v>
      </c>
      <c r="AL113">
        <v>1</v>
      </c>
      <c r="AM113" s="19">
        <v>195</v>
      </c>
      <c r="AN113">
        <v>1</v>
      </c>
      <c r="AO113" s="19">
        <v>209</v>
      </c>
      <c r="AP113">
        <v>1</v>
      </c>
      <c r="AQ113" s="19">
        <v>348</v>
      </c>
    </row>
    <row r="114" spans="1:43" x14ac:dyDescent="0.35">
      <c r="A114" s="18">
        <v>45402</v>
      </c>
      <c r="B114" t="s">
        <v>60</v>
      </c>
      <c r="C114" t="s">
        <v>61</v>
      </c>
      <c r="D114">
        <v>9</v>
      </c>
      <c r="E114">
        <v>4</v>
      </c>
      <c r="F114">
        <v>5</v>
      </c>
      <c r="G114" s="19">
        <v>4703</v>
      </c>
      <c r="H114" s="19">
        <v>3998</v>
      </c>
      <c r="I114" s="19">
        <v>705</v>
      </c>
      <c r="J114" s="19">
        <v>253</v>
      </c>
      <c r="K114" s="19">
        <v>107</v>
      </c>
      <c r="L114" s="19">
        <v>833</v>
      </c>
      <c r="M114" s="19">
        <v>104</v>
      </c>
      <c r="N114" s="19">
        <v>73</v>
      </c>
      <c r="O114" s="19">
        <f t="shared" si="2"/>
        <v>1370</v>
      </c>
      <c r="P114" s="19">
        <f t="shared" si="3"/>
        <v>3333</v>
      </c>
      <c r="Q114" t="s">
        <v>25</v>
      </c>
      <c r="R114" t="s">
        <v>64</v>
      </c>
      <c r="T114">
        <v>1</v>
      </c>
      <c r="U114" s="19">
        <v>1035</v>
      </c>
      <c r="V114">
        <v>0</v>
      </c>
      <c r="W114" s="19">
        <v>0</v>
      </c>
      <c r="X114">
        <v>1</v>
      </c>
      <c r="Y114" s="19">
        <v>1646</v>
      </c>
      <c r="Z114">
        <v>1</v>
      </c>
      <c r="AA114" s="19">
        <v>752</v>
      </c>
      <c r="AB114">
        <v>1</v>
      </c>
      <c r="AC114" s="19">
        <v>564</v>
      </c>
      <c r="AD114">
        <v>0</v>
      </c>
      <c r="AE114" s="19">
        <v>0</v>
      </c>
      <c r="AF114">
        <v>0</v>
      </c>
      <c r="AG114" s="19">
        <v>0</v>
      </c>
      <c r="AH114">
        <v>1</v>
      </c>
      <c r="AI114" s="19">
        <v>132</v>
      </c>
      <c r="AJ114">
        <v>1</v>
      </c>
      <c r="AK114" s="19">
        <v>66</v>
      </c>
      <c r="AL114">
        <v>1</v>
      </c>
      <c r="AM114" s="19">
        <v>132</v>
      </c>
      <c r="AN114">
        <v>1</v>
      </c>
      <c r="AO114" s="19">
        <v>141</v>
      </c>
      <c r="AP114">
        <v>1</v>
      </c>
      <c r="AQ114" s="19">
        <v>235</v>
      </c>
    </row>
    <row r="115" spans="1:43" x14ac:dyDescent="0.35">
      <c r="A115" s="18">
        <v>45403</v>
      </c>
      <c r="B115" t="s">
        <v>62</v>
      </c>
      <c r="C115" t="s">
        <v>61</v>
      </c>
      <c r="D115">
        <v>9</v>
      </c>
      <c r="E115">
        <v>4</v>
      </c>
      <c r="F115">
        <v>5</v>
      </c>
      <c r="G115" s="19">
        <v>4950</v>
      </c>
      <c r="H115" s="19">
        <v>3855</v>
      </c>
      <c r="I115" s="19">
        <v>1095</v>
      </c>
      <c r="J115" s="19">
        <v>253</v>
      </c>
      <c r="K115" s="19">
        <v>107</v>
      </c>
      <c r="L115" s="19">
        <v>833</v>
      </c>
      <c r="M115" s="19">
        <v>109</v>
      </c>
      <c r="N115" s="19">
        <v>73</v>
      </c>
      <c r="O115" s="19">
        <f t="shared" si="2"/>
        <v>1375</v>
      </c>
      <c r="P115" s="19">
        <f t="shared" si="3"/>
        <v>3575</v>
      </c>
      <c r="Q115" t="s">
        <v>23</v>
      </c>
      <c r="R115" t="s">
        <v>64</v>
      </c>
      <c r="T115">
        <v>1</v>
      </c>
      <c r="U115" s="19">
        <v>1606</v>
      </c>
      <c r="V115">
        <v>0</v>
      </c>
      <c r="W115" s="19">
        <v>0</v>
      </c>
      <c r="X115">
        <v>0</v>
      </c>
      <c r="Y115" s="19">
        <v>0</v>
      </c>
      <c r="Z115">
        <v>1</v>
      </c>
      <c r="AA115" s="19">
        <v>1168</v>
      </c>
      <c r="AB115">
        <v>1</v>
      </c>
      <c r="AC115" s="19">
        <v>876</v>
      </c>
      <c r="AD115">
        <v>0</v>
      </c>
      <c r="AE115" s="19">
        <v>0</v>
      </c>
      <c r="AF115">
        <v>0</v>
      </c>
      <c r="AG115" s="19">
        <v>0</v>
      </c>
      <c r="AH115">
        <v>2</v>
      </c>
      <c r="AI115" s="19">
        <v>409</v>
      </c>
      <c r="AJ115">
        <v>1</v>
      </c>
      <c r="AK115" s="19">
        <v>102</v>
      </c>
      <c r="AL115">
        <v>1</v>
      </c>
      <c r="AM115" s="19">
        <v>204</v>
      </c>
      <c r="AN115">
        <v>1</v>
      </c>
      <c r="AO115" s="19">
        <v>219</v>
      </c>
      <c r="AP115">
        <v>1</v>
      </c>
      <c r="AQ115" s="19">
        <v>365</v>
      </c>
    </row>
    <row r="116" spans="1:43" x14ac:dyDescent="0.35">
      <c r="A116" s="18">
        <v>45404</v>
      </c>
      <c r="B116" t="s">
        <v>52</v>
      </c>
      <c r="C116" t="s">
        <v>53</v>
      </c>
      <c r="D116">
        <v>7</v>
      </c>
      <c r="E116">
        <v>2</v>
      </c>
      <c r="F116">
        <v>5</v>
      </c>
      <c r="G116" s="19">
        <v>3559</v>
      </c>
      <c r="H116" s="19">
        <v>2470</v>
      </c>
      <c r="I116" s="19">
        <v>1089</v>
      </c>
      <c r="J116" s="19">
        <v>253</v>
      </c>
      <c r="K116" s="19">
        <v>107</v>
      </c>
      <c r="L116" s="19">
        <v>833</v>
      </c>
      <c r="M116" s="19">
        <v>78</v>
      </c>
      <c r="N116" s="19">
        <v>57</v>
      </c>
      <c r="O116" s="19">
        <f t="shared" si="2"/>
        <v>1328</v>
      </c>
      <c r="P116" s="19">
        <f t="shared" si="3"/>
        <v>2231</v>
      </c>
      <c r="Q116" t="s">
        <v>23</v>
      </c>
      <c r="R116" t="s">
        <v>64</v>
      </c>
      <c r="T116">
        <v>1</v>
      </c>
      <c r="U116" s="19">
        <v>1598</v>
      </c>
      <c r="V116">
        <v>0</v>
      </c>
      <c r="W116" s="19">
        <v>0</v>
      </c>
      <c r="X116">
        <v>0</v>
      </c>
      <c r="Y116" s="19">
        <v>0</v>
      </c>
      <c r="Z116">
        <v>0</v>
      </c>
      <c r="AA116" s="19">
        <v>0</v>
      </c>
      <c r="AB116">
        <v>1</v>
      </c>
      <c r="AC116" s="19">
        <v>872</v>
      </c>
      <c r="AD116">
        <v>0</v>
      </c>
      <c r="AE116" s="19">
        <v>0</v>
      </c>
      <c r="AF116">
        <v>0</v>
      </c>
      <c r="AG116" s="19">
        <v>0</v>
      </c>
      <c r="AH116">
        <v>1</v>
      </c>
      <c r="AI116" s="19">
        <v>203</v>
      </c>
      <c r="AJ116">
        <v>1</v>
      </c>
      <c r="AK116" s="19">
        <v>102</v>
      </c>
      <c r="AL116">
        <v>1</v>
      </c>
      <c r="AM116" s="19">
        <v>203</v>
      </c>
      <c r="AN116">
        <v>1</v>
      </c>
      <c r="AO116" s="19">
        <v>218</v>
      </c>
      <c r="AP116">
        <v>1</v>
      </c>
      <c r="AQ116" s="19">
        <v>363</v>
      </c>
    </row>
    <row r="117" spans="1:43" x14ac:dyDescent="0.35">
      <c r="A117" s="18">
        <v>45405</v>
      </c>
      <c r="B117" t="s">
        <v>56</v>
      </c>
      <c r="C117" t="s">
        <v>53</v>
      </c>
      <c r="D117">
        <v>6</v>
      </c>
      <c r="E117">
        <v>1</v>
      </c>
      <c r="F117">
        <v>5</v>
      </c>
      <c r="G117" s="19">
        <v>3430</v>
      </c>
      <c r="H117" s="19">
        <v>1524</v>
      </c>
      <c r="I117" s="19">
        <v>1906</v>
      </c>
      <c r="J117" s="19">
        <v>253</v>
      </c>
      <c r="K117" s="19">
        <v>107</v>
      </c>
      <c r="L117" s="19">
        <v>833</v>
      </c>
      <c r="M117" s="19">
        <v>76</v>
      </c>
      <c r="N117" s="19">
        <v>49</v>
      </c>
      <c r="O117" s="19">
        <f t="shared" si="2"/>
        <v>1318</v>
      </c>
      <c r="P117" s="19">
        <f t="shared" si="3"/>
        <v>2112</v>
      </c>
      <c r="Q117" t="s">
        <v>27</v>
      </c>
      <c r="R117" t="s">
        <v>64</v>
      </c>
      <c r="T117">
        <v>0</v>
      </c>
      <c r="U117" s="19">
        <v>0</v>
      </c>
      <c r="V117">
        <v>0</v>
      </c>
      <c r="W117" s="19">
        <v>0</v>
      </c>
      <c r="X117">
        <v>0</v>
      </c>
      <c r="Y117" s="19">
        <v>0</v>
      </c>
      <c r="Z117">
        <v>0</v>
      </c>
      <c r="AA117" s="19">
        <v>0</v>
      </c>
      <c r="AB117">
        <v>1</v>
      </c>
      <c r="AC117" s="19">
        <v>1524</v>
      </c>
      <c r="AD117">
        <v>0</v>
      </c>
      <c r="AE117" s="19">
        <v>0</v>
      </c>
      <c r="AF117">
        <v>0</v>
      </c>
      <c r="AG117" s="19">
        <v>0</v>
      </c>
      <c r="AH117">
        <v>1</v>
      </c>
      <c r="AI117" s="19">
        <v>356</v>
      </c>
      <c r="AJ117">
        <v>1</v>
      </c>
      <c r="AK117" s="19">
        <v>178</v>
      </c>
      <c r="AL117">
        <v>1</v>
      </c>
      <c r="AM117" s="19">
        <v>356</v>
      </c>
      <c r="AN117">
        <v>1</v>
      </c>
      <c r="AO117" s="19">
        <v>381</v>
      </c>
      <c r="AP117">
        <v>1</v>
      </c>
      <c r="AQ117" s="19">
        <v>635</v>
      </c>
    </row>
    <row r="118" spans="1:43" x14ac:dyDescent="0.35">
      <c r="A118" s="18">
        <v>45406</v>
      </c>
      <c r="B118" t="s">
        <v>57</v>
      </c>
      <c r="C118" t="s">
        <v>53</v>
      </c>
      <c r="D118">
        <v>7</v>
      </c>
      <c r="E118">
        <v>2</v>
      </c>
      <c r="F118">
        <v>5</v>
      </c>
      <c r="G118" s="19">
        <v>3871</v>
      </c>
      <c r="H118" s="19">
        <v>2686</v>
      </c>
      <c r="I118" s="19">
        <v>1185</v>
      </c>
      <c r="J118" s="19">
        <v>253</v>
      </c>
      <c r="K118" s="19">
        <v>107</v>
      </c>
      <c r="L118" s="19">
        <v>833</v>
      </c>
      <c r="M118" s="19">
        <v>85</v>
      </c>
      <c r="N118" s="19">
        <v>57</v>
      </c>
      <c r="O118" s="19">
        <f t="shared" si="2"/>
        <v>1335</v>
      </c>
      <c r="P118" s="19">
        <f t="shared" si="3"/>
        <v>2536</v>
      </c>
      <c r="Q118" t="s">
        <v>23</v>
      </c>
      <c r="R118" t="s">
        <v>64</v>
      </c>
      <c r="T118">
        <v>1</v>
      </c>
      <c r="U118" s="19">
        <v>1738</v>
      </c>
      <c r="V118">
        <v>0</v>
      </c>
      <c r="W118" s="19">
        <v>0</v>
      </c>
      <c r="X118">
        <v>0</v>
      </c>
      <c r="Y118" s="19">
        <v>0</v>
      </c>
      <c r="Z118">
        <v>0</v>
      </c>
      <c r="AA118" s="19">
        <v>0</v>
      </c>
      <c r="AB118">
        <v>1</v>
      </c>
      <c r="AC118" s="19">
        <v>948</v>
      </c>
      <c r="AD118">
        <v>0</v>
      </c>
      <c r="AE118" s="19">
        <v>0</v>
      </c>
      <c r="AF118">
        <v>0</v>
      </c>
      <c r="AG118" s="19">
        <v>0</v>
      </c>
      <c r="AH118">
        <v>1</v>
      </c>
      <c r="AI118" s="19">
        <v>221</v>
      </c>
      <c r="AJ118">
        <v>1</v>
      </c>
      <c r="AK118" s="19">
        <v>111</v>
      </c>
      <c r="AL118">
        <v>1</v>
      </c>
      <c r="AM118" s="19">
        <v>221</v>
      </c>
      <c r="AN118">
        <v>1</v>
      </c>
      <c r="AO118" s="19">
        <v>237</v>
      </c>
      <c r="AP118">
        <v>1</v>
      </c>
      <c r="AQ118" s="19">
        <v>395</v>
      </c>
    </row>
    <row r="119" spans="1:43" x14ac:dyDescent="0.35">
      <c r="A119" s="18">
        <v>45407</v>
      </c>
      <c r="B119" t="s">
        <v>58</v>
      </c>
      <c r="C119" t="s">
        <v>53</v>
      </c>
      <c r="D119">
        <v>7</v>
      </c>
      <c r="E119">
        <v>3</v>
      </c>
      <c r="F119">
        <v>4</v>
      </c>
      <c r="G119" s="19">
        <v>3782</v>
      </c>
      <c r="H119" s="19">
        <v>3152</v>
      </c>
      <c r="I119" s="19">
        <v>630</v>
      </c>
      <c r="J119" s="19">
        <v>253</v>
      </c>
      <c r="K119" s="19">
        <v>107</v>
      </c>
      <c r="L119" s="19">
        <v>833</v>
      </c>
      <c r="M119" s="19">
        <v>83</v>
      </c>
      <c r="N119" s="19">
        <v>57</v>
      </c>
      <c r="O119" s="19">
        <f t="shared" si="2"/>
        <v>1333</v>
      </c>
      <c r="P119" s="19">
        <f t="shared" si="3"/>
        <v>2449</v>
      </c>
      <c r="Q119" t="s">
        <v>23</v>
      </c>
      <c r="R119" t="s">
        <v>64</v>
      </c>
      <c r="T119">
        <v>1</v>
      </c>
      <c r="U119" s="19">
        <v>1387</v>
      </c>
      <c r="V119">
        <v>0</v>
      </c>
      <c r="W119" s="19">
        <v>0</v>
      </c>
      <c r="X119">
        <v>0</v>
      </c>
      <c r="Y119" s="19">
        <v>0</v>
      </c>
      <c r="Z119">
        <v>1</v>
      </c>
      <c r="AA119" s="19">
        <v>1009</v>
      </c>
      <c r="AB119">
        <v>1</v>
      </c>
      <c r="AC119" s="19">
        <v>756</v>
      </c>
      <c r="AD119">
        <v>0</v>
      </c>
      <c r="AE119" s="19">
        <v>0</v>
      </c>
      <c r="AF119">
        <v>0</v>
      </c>
      <c r="AG119" s="19">
        <v>0</v>
      </c>
      <c r="AH119">
        <v>1</v>
      </c>
      <c r="AI119" s="19">
        <v>176</v>
      </c>
      <c r="AJ119">
        <v>1</v>
      </c>
      <c r="AK119" s="19">
        <v>88</v>
      </c>
      <c r="AL119">
        <v>1</v>
      </c>
      <c r="AM119" s="19">
        <v>176</v>
      </c>
      <c r="AN119">
        <v>1</v>
      </c>
      <c r="AO119" s="19">
        <v>189</v>
      </c>
      <c r="AP119">
        <v>0</v>
      </c>
      <c r="AQ119" s="19">
        <v>0</v>
      </c>
    </row>
    <row r="120" spans="1:43" x14ac:dyDescent="0.35">
      <c r="A120" s="18">
        <v>45408</v>
      </c>
      <c r="B120" t="s">
        <v>59</v>
      </c>
      <c r="C120" t="s">
        <v>53</v>
      </c>
      <c r="D120">
        <v>7</v>
      </c>
      <c r="E120">
        <v>3</v>
      </c>
      <c r="F120">
        <v>4</v>
      </c>
      <c r="G120" s="19">
        <v>3710</v>
      </c>
      <c r="H120" s="19">
        <v>3092</v>
      </c>
      <c r="I120" s="19">
        <v>618</v>
      </c>
      <c r="J120" s="19">
        <v>253</v>
      </c>
      <c r="K120" s="19">
        <v>107</v>
      </c>
      <c r="L120" s="19">
        <v>833</v>
      </c>
      <c r="M120" s="19">
        <v>82</v>
      </c>
      <c r="N120" s="19">
        <v>57</v>
      </c>
      <c r="O120" s="19">
        <f t="shared" si="2"/>
        <v>1332</v>
      </c>
      <c r="P120" s="19">
        <f t="shared" si="3"/>
        <v>2378</v>
      </c>
      <c r="Q120" t="s">
        <v>23</v>
      </c>
      <c r="R120" t="s">
        <v>64</v>
      </c>
      <c r="T120">
        <v>1</v>
      </c>
      <c r="U120" s="19">
        <v>1360</v>
      </c>
      <c r="V120">
        <v>0</v>
      </c>
      <c r="W120" s="19">
        <v>0</v>
      </c>
      <c r="X120">
        <v>0</v>
      </c>
      <c r="Y120" s="19">
        <v>0</v>
      </c>
      <c r="Z120">
        <v>1</v>
      </c>
      <c r="AA120" s="19">
        <v>989</v>
      </c>
      <c r="AB120">
        <v>1</v>
      </c>
      <c r="AC120" s="19">
        <v>742</v>
      </c>
      <c r="AD120">
        <v>0</v>
      </c>
      <c r="AE120" s="19">
        <v>0</v>
      </c>
      <c r="AF120">
        <v>0</v>
      </c>
      <c r="AG120" s="19">
        <v>0</v>
      </c>
      <c r="AH120">
        <v>1</v>
      </c>
      <c r="AI120" s="19">
        <v>173</v>
      </c>
      <c r="AJ120">
        <v>1</v>
      </c>
      <c r="AK120" s="19">
        <v>87</v>
      </c>
      <c r="AL120">
        <v>1</v>
      </c>
      <c r="AM120" s="19">
        <v>173</v>
      </c>
      <c r="AN120">
        <v>1</v>
      </c>
      <c r="AO120" s="19">
        <v>186</v>
      </c>
      <c r="AP120">
        <v>0</v>
      </c>
      <c r="AQ120" s="19">
        <v>0</v>
      </c>
    </row>
    <row r="121" spans="1:43" x14ac:dyDescent="0.35">
      <c r="A121" s="18">
        <v>45409</v>
      </c>
      <c r="B121" t="s">
        <v>60</v>
      </c>
      <c r="C121" t="s">
        <v>61</v>
      </c>
      <c r="D121">
        <v>10</v>
      </c>
      <c r="E121">
        <v>5</v>
      </c>
      <c r="F121">
        <v>5</v>
      </c>
      <c r="G121" s="19">
        <v>5122</v>
      </c>
      <c r="H121" s="19">
        <v>4012</v>
      </c>
      <c r="I121" s="19">
        <v>1110</v>
      </c>
      <c r="J121" s="19">
        <v>253</v>
      </c>
      <c r="K121" s="19">
        <v>107</v>
      </c>
      <c r="L121" s="19">
        <v>833</v>
      </c>
      <c r="M121" s="19">
        <v>113</v>
      </c>
      <c r="N121" s="19">
        <v>81</v>
      </c>
      <c r="O121" s="19">
        <f t="shared" si="2"/>
        <v>1387</v>
      </c>
      <c r="P121" s="19">
        <f t="shared" si="3"/>
        <v>3735</v>
      </c>
      <c r="Q121" t="s">
        <v>23</v>
      </c>
      <c r="R121" t="s">
        <v>64</v>
      </c>
      <c r="T121">
        <v>1</v>
      </c>
      <c r="U121" s="19">
        <v>1628</v>
      </c>
      <c r="V121">
        <v>0</v>
      </c>
      <c r="W121" s="19">
        <v>0</v>
      </c>
      <c r="X121">
        <v>0</v>
      </c>
      <c r="Y121" s="19">
        <v>0</v>
      </c>
      <c r="Z121">
        <v>1</v>
      </c>
      <c r="AA121" s="19">
        <v>1184</v>
      </c>
      <c r="AB121">
        <v>1</v>
      </c>
      <c r="AC121" s="19">
        <v>888</v>
      </c>
      <c r="AD121">
        <v>0</v>
      </c>
      <c r="AE121" s="19">
        <v>0</v>
      </c>
      <c r="AF121">
        <v>0</v>
      </c>
      <c r="AG121" s="19">
        <v>0</v>
      </c>
      <c r="AH121">
        <v>2</v>
      </c>
      <c r="AI121" s="19">
        <v>414</v>
      </c>
      <c r="AJ121">
        <v>2</v>
      </c>
      <c r="AK121" s="19">
        <v>207</v>
      </c>
      <c r="AL121">
        <v>1</v>
      </c>
      <c r="AM121" s="19">
        <v>207</v>
      </c>
      <c r="AN121">
        <v>1</v>
      </c>
      <c r="AO121" s="19">
        <v>222</v>
      </c>
      <c r="AP121">
        <v>1</v>
      </c>
      <c r="AQ121" s="19">
        <v>370</v>
      </c>
    </row>
    <row r="122" spans="1:43" x14ac:dyDescent="0.35">
      <c r="A122" s="18">
        <v>45410</v>
      </c>
      <c r="B122" t="s">
        <v>62</v>
      </c>
      <c r="C122" t="s">
        <v>61</v>
      </c>
      <c r="D122">
        <v>8</v>
      </c>
      <c r="E122">
        <v>2</v>
      </c>
      <c r="F122">
        <v>6</v>
      </c>
      <c r="G122" s="19">
        <v>4351</v>
      </c>
      <c r="H122" s="19">
        <v>2144</v>
      </c>
      <c r="I122" s="19">
        <v>2207</v>
      </c>
      <c r="J122" s="19">
        <v>253</v>
      </c>
      <c r="K122" s="19">
        <v>107</v>
      </c>
      <c r="L122" s="19">
        <v>833</v>
      </c>
      <c r="M122" s="19">
        <v>96</v>
      </c>
      <c r="N122" s="19">
        <v>65</v>
      </c>
      <c r="O122" s="19">
        <f t="shared" si="2"/>
        <v>1354</v>
      </c>
      <c r="P122" s="19">
        <f t="shared" si="3"/>
        <v>2997</v>
      </c>
      <c r="Q122" t="s">
        <v>23</v>
      </c>
      <c r="R122" t="s">
        <v>64</v>
      </c>
      <c r="T122">
        <v>1</v>
      </c>
      <c r="U122" s="19">
        <v>1387</v>
      </c>
      <c r="V122">
        <v>0</v>
      </c>
      <c r="W122" s="19">
        <v>0</v>
      </c>
      <c r="X122">
        <v>0</v>
      </c>
      <c r="Y122" s="19">
        <v>0</v>
      </c>
      <c r="Z122">
        <v>0</v>
      </c>
      <c r="AA122" s="19">
        <v>0</v>
      </c>
      <c r="AB122">
        <v>1</v>
      </c>
      <c r="AC122" s="19">
        <v>757</v>
      </c>
      <c r="AD122">
        <v>1</v>
      </c>
      <c r="AE122" s="19">
        <v>1261</v>
      </c>
      <c r="AF122">
        <v>0</v>
      </c>
      <c r="AG122" s="19">
        <v>0</v>
      </c>
      <c r="AH122">
        <v>1</v>
      </c>
      <c r="AI122" s="19">
        <v>177</v>
      </c>
      <c r="AJ122">
        <v>1</v>
      </c>
      <c r="AK122" s="19">
        <v>88</v>
      </c>
      <c r="AL122">
        <v>1</v>
      </c>
      <c r="AM122" s="19">
        <v>177</v>
      </c>
      <c r="AN122">
        <v>1</v>
      </c>
      <c r="AO122" s="19">
        <v>189</v>
      </c>
      <c r="AP122">
        <v>1</v>
      </c>
      <c r="AQ122" s="19">
        <v>315</v>
      </c>
    </row>
    <row r="123" spans="1:43" x14ac:dyDescent="0.35">
      <c r="A123" s="18">
        <v>45411</v>
      </c>
      <c r="B123" t="s">
        <v>52</v>
      </c>
      <c r="C123" t="s">
        <v>53</v>
      </c>
      <c r="D123">
        <v>7</v>
      </c>
      <c r="E123">
        <v>3</v>
      </c>
      <c r="F123">
        <v>4</v>
      </c>
      <c r="G123" s="19">
        <v>3621</v>
      </c>
      <c r="H123" s="19">
        <v>3018</v>
      </c>
      <c r="I123" s="19">
        <v>604</v>
      </c>
      <c r="J123" s="19">
        <v>253</v>
      </c>
      <c r="K123" s="19">
        <v>107</v>
      </c>
      <c r="L123" s="19">
        <v>833</v>
      </c>
      <c r="M123" s="19">
        <v>80</v>
      </c>
      <c r="N123" s="19">
        <v>57</v>
      </c>
      <c r="O123" s="19">
        <f t="shared" si="2"/>
        <v>1330</v>
      </c>
      <c r="P123" s="19">
        <f t="shared" si="3"/>
        <v>2291</v>
      </c>
      <c r="Q123" t="s">
        <v>23</v>
      </c>
      <c r="R123" t="s">
        <v>64</v>
      </c>
      <c r="T123">
        <v>1</v>
      </c>
      <c r="U123" s="19">
        <v>1328</v>
      </c>
      <c r="V123">
        <v>0</v>
      </c>
      <c r="W123" s="19">
        <v>0</v>
      </c>
      <c r="X123">
        <v>0</v>
      </c>
      <c r="Y123" s="19">
        <v>0</v>
      </c>
      <c r="Z123">
        <v>1</v>
      </c>
      <c r="AA123" s="19">
        <v>966</v>
      </c>
      <c r="AB123">
        <v>1</v>
      </c>
      <c r="AC123" s="19">
        <v>724</v>
      </c>
      <c r="AD123">
        <v>0</v>
      </c>
      <c r="AE123" s="19">
        <v>0</v>
      </c>
      <c r="AF123">
        <v>0</v>
      </c>
      <c r="AG123" s="19">
        <v>0</v>
      </c>
      <c r="AH123">
        <v>1</v>
      </c>
      <c r="AI123" s="19">
        <v>169</v>
      </c>
      <c r="AJ123">
        <v>1</v>
      </c>
      <c r="AK123" s="19">
        <v>84</v>
      </c>
      <c r="AL123">
        <v>1</v>
      </c>
      <c r="AM123" s="19">
        <v>169</v>
      </c>
      <c r="AN123">
        <v>1</v>
      </c>
      <c r="AO123" s="19">
        <v>181</v>
      </c>
      <c r="AP123">
        <v>0</v>
      </c>
      <c r="AQ123" s="19">
        <v>0</v>
      </c>
    </row>
    <row r="124" spans="1:43" x14ac:dyDescent="0.35">
      <c r="A124" s="18">
        <v>45412</v>
      </c>
      <c r="B124" t="s">
        <v>56</v>
      </c>
      <c r="C124" t="s">
        <v>53</v>
      </c>
      <c r="D124">
        <v>7</v>
      </c>
      <c r="E124">
        <v>2</v>
      </c>
      <c r="F124">
        <v>5</v>
      </c>
      <c r="G124" s="19">
        <v>3713</v>
      </c>
      <c r="H124" s="19">
        <v>2576</v>
      </c>
      <c r="I124" s="19">
        <v>1137</v>
      </c>
      <c r="J124" s="19">
        <v>253</v>
      </c>
      <c r="K124" s="19">
        <v>107</v>
      </c>
      <c r="L124" s="19">
        <v>833</v>
      </c>
      <c r="M124" s="19">
        <v>82</v>
      </c>
      <c r="N124" s="19">
        <v>57</v>
      </c>
      <c r="O124" s="19">
        <f t="shared" si="2"/>
        <v>1332</v>
      </c>
      <c r="P124" s="19">
        <f t="shared" si="3"/>
        <v>2381</v>
      </c>
      <c r="Q124" t="s">
        <v>23</v>
      </c>
      <c r="R124" t="s">
        <v>64</v>
      </c>
      <c r="T124">
        <v>1</v>
      </c>
      <c r="U124" s="19">
        <v>1667</v>
      </c>
      <c r="V124">
        <v>0</v>
      </c>
      <c r="W124" s="19">
        <v>0</v>
      </c>
      <c r="X124">
        <v>0</v>
      </c>
      <c r="Y124" s="19">
        <v>0</v>
      </c>
      <c r="Z124">
        <v>0</v>
      </c>
      <c r="AA124" s="19">
        <v>0</v>
      </c>
      <c r="AB124">
        <v>1</v>
      </c>
      <c r="AC124" s="19">
        <v>909</v>
      </c>
      <c r="AD124">
        <v>0</v>
      </c>
      <c r="AE124" s="19">
        <v>0</v>
      </c>
      <c r="AF124">
        <v>0</v>
      </c>
      <c r="AG124" s="19">
        <v>0</v>
      </c>
      <c r="AH124">
        <v>1</v>
      </c>
      <c r="AI124" s="19">
        <v>212</v>
      </c>
      <c r="AJ124">
        <v>1</v>
      </c>
      <c r="AK124" s="19">
        <v>106</v>
      </c>
      <c r="AL124">
        <v>1</v>
      </c>
      <c r="AM124" s="19">
        <v>212</v>
      </c>
      <c r="AN124">
        <v>1</v>
      </c>
      <c r="AO124" s="19">
        <v>227</v>
      </c>
      <c r="AP124">
        <v>1</v>
      </c>
      <c r="AQ124" s="19">
        <v>379</v>
      </c>
    </row>
    <row r="125" spans="1:43" x14ac:dyDescent="0.35">
      <c r="A125" s="18">
        <v>45413</v>
      </c>
      <c r="B125" t="s">
        <v>57</v>
      </c>
      <c r="C125" t="s">
        <v>53</v>
      </c>
      <c r="D125">
        <v>8</v>
      </c>
      <c r="E125">
        <v>3</v>
      </c>
      <c r="F125">
        <v>5</v>
      </c>
      <c r="G125" s="19">
        <v>4142</v>
      </c>
      <c r="H125" s="19">
        <v>3186</v>
      </c>
      <c r="I125" s="19">
        <v>956</v>
      </c>
      <c r="J125" s="19">
        <v>248</v>
      </c>
      <c r="K125" s="19">
        <v>103</v>
      </c>
      <c r="L125" s="19">
        <v>806</v>
      </c>
      <c r="M125" s="19">
        <v>91</v>
      </c>
      <c r="N125" s="19">
        <v>65</v>
      </c>
      <c r="O125" s="19">
        <f t="shared" si="2"/>
        <v>1313</v>
      </c>
      <c r="P125" s="19">
        <f t="shared" si="3"/>
        <v>2829</v>
      </c>
      <c r="Q125" t="s">
        <v>23</v>
      </c>
      <c r="R125" t="s">
        <v>64</v>
      </c>
      <c r="T125">
        <v>1</v>
      </c>
      <c r="U125" s="19">
        <v>1402</v>
      </c>
      <c r="V125">
        <v>0</v>
      </c>
      <c r="W125" s="19">
        <v>0</v>
      </c>
      <c r="X125">
        <v>0</v>
      </c>
      <c r="Y125" s="19">
        <v>0</v>
      </c>
      <c r="Z125">
        <v>1</v>
      </c>
      <c r="AA125" s="19">
        <v>1020</v>
      </c>
      <c r="AB125">
        <v>1</v>
      </c>
      <c r="AC125" s="19">
        <v>765</v>
      </c>
      <c r="AD125">
        <v>0</v>
      </c>
      <c r="AE125" s="19">
        <v>0</v>
      </c>
      <c r="AF125">
        <v>0</v>
      </c>
      <c r="AG125" s="19">
        <v>0</v>
      </c>
      <c r="AH125">
        <v>1</v>
      </c>
      <c r="AI125" s="19">
        <v>178</v>
      </c>
      <c r="AJ125">
        <v>1</v>
      </c>
      <c r="AK125" s="19">
        <v>89</v>
      </c>
      <c r="AL125">
        <v>1</v>
      </c>
      <c r="AM125" s="19">
        <v>178</v>
      </c>
      <c r="AN125">
        <v>1</v>
      </c>
      <c r="AO125" s="19">
        <v>191</v>
      </c>
      <c r="AP125">
        <v>1</v>
      </c>
      <c r="AQ125" s="19">
        <v>319</v>
      </c>
    </row>
    <row r="126" spans="1:43" x14ac:dyDescent="0.35">
      <c r="A126" s="18">
        <v>45414</v>
      </c>
      <c r="B126" t="s">
        <v>58</v>
      </c>
      <c r="C126" t="s">
        <v>53</v>
      </c>
      <c r="D126">
        <v>8</v>
      </c>
      <c r="E126">
        <v>3</v>
      </c>
      <c r="F126">
        <v>5</v>
      </c>
      <c r="G126" s="19">
        <v>4377</v>
      </c>
      <c r="H126" s="19">
        <v>3367</v>
      </c>
      <c r="I126" s="19">
        <v>1010</v>
      </c>
      <c r="J126" s="19">
        <v>248</v>
      </c>
      <c r="K126" s="19">
        <v>103</v>
      </c>
      <c r="L126" s="19">
        <v>806</v>
      </c>
      <c r="M126" s="19">
        <v>97</v>
      </c>
      <c r="N126" s="19">
        <v>65</v>
      </c>
      <c r="O126" s="19">
        <f t="shared" si="2"/>
        <v>1319</v>
      </c>
      <c r="P126" s="19">
        <f t="shared" si="3"/>
        <v>3058</v>
      </c>
      <c r="Q126" t="s">
        <v>23</v>
      </c>
      <c r="R126" t="s">
        <v>64</v>
      </c>
      <c r="T126">
        <v>1</v>
      </c>
      <c r="U126" s="19">
        <v>1481</v>
      </c>
      <c r="V126">
        <v>0</v>
      </c>
      <c r="W126" s="19">
        <v>0</v>
      </c>
      <c r="X126">
        <v>0</v>
      </c>
      <c r="Y126" s="19">
        <v>0</v>
      </c>
      <c r="Z126">
        <v>1</v>
      </c>
      <c r="AA126" s="19">
        <v>1077</v>
      </c>
      <c r="AB126">
        <v>1</v>
      </c>
      <c r="AC126" s="19">
        <v>808</v>
      </c>
      <c r="AD126">
        <v>0</v>
      </c>
      <c r="AE126" s="19">
        <v>0</v>
      </c>
      <c r="AF126">
        <v>0</v>
      </c>
      <c r="AG126" s="19">
        <v>0</v>
      </c>
      <c r="AH126">
        <v>1</v>
      </c>
      <c r="AI126" s="19">
        <v>189</v>
      </c>
      <c r="AJ126">
        <v>1</v>
      </c>
      <c r="AK126" s="19">
        <v>94</v>
      </c>
      <c r="AL126">
        <v>1</v>
      </c>
      <c r="AM126" s="19">
        <v>189</v>
      </c>
      <c r="AN126">
        <v>1</v>
      </c>
      <c r="AO126" s="19">
        <v>202</v>
      </c>
      <c r="AP126">
        <v>1</v>
      </c>
      <c r="AQ126" s="19">
        <v>337</v>
      </c>
    </row>
    <row r="127" spans="1:43" x14ac:dyDescent="0.35">
      <c r="A127" s="18">
        <v>45415</v>
      </c>
      <c r="B127" t="s">
        <v>59</v>
      </c>
      <c r="C127" t="s">
        <v>53</v>
      </c>
      <c r="D127">
        <v>8</v>
      </c>
      <c r="E127">
        <v>3</v>
      </c>
      <c r="F127">
        <v>5</v>
      </c>
      <c r="G127" s="19">
        <v>4291</v>
      </c>
      <c r="H127" s="19">
        <v>3048</v>
      </c>
      <c r="I127" s="19">
        <v>1243</v>
      </c>
      <c r="J127" s="19">
        <v>248</v>
      </c>
      <c r="K127" s="19">
        <v>103</v>
      </c>
      <c r="L127" s="19">
        <v>806</v>
      </c>
      <c r="M127" s="19">
        <v>95</v>
      </c>
      <c r="N127" s="19">
        <v>65</v>
      </c>
      <c r="O127" s="19">
        <f t="shared" si="2"/>
        <v>1317</v>
      </c>
      <c r="P127" s="19">
        <f t="shared" si="3"/>
        <v>2974</v>
      </c>
      <c r="Q127" t="s">
        <v>23</v>
      </c>
      <c r="R127" t="s">
        <v>64</v>
      </c>
      <c r="T127">
        <v>1</v>
      </c>
      <c r="U127" s="19">
        <v>1822</v>
      </c>
      <c r="V127">
        <v>0</v>
      </c>
      <c r="W127" s="19">
        <v>0</v>
      </c>
      <c r="X127">
        <v>0</v>
      </c>
      <c r="Y127" s="19">
        <v>0</v>
      </c>
      <c r="Z127">
        <v>0</v>
      </c>
      <c r="AA127" s="19">
        <v>0</v>
      </c>
      <c r="AB127">
        <v>1</v>
      </c>
      <c r="AC127" s="19">
        <v>994</v>
      </c>
      <c r="AD127">
        <v>0</v>
      </c>
      <c r="AE127" s="19">
        <v>0</v>
      </c>
      <c r="AF127">
        <v>0</v>
      </c>
      <c r="AG127" s="19">
        <v>0</v>
      </c>
      <c r="AH127">
        <v>2</v>
      </c>
      <c r="AI127" s="19">
        <v>464</v>
      </c>
      <c r="AJ127">
        <v>1</v>
      </c>
      <c r="AK127" s="19">
        <v>116</v>
      </c>
      <c r="AL127">
        <v>1</v>
      </c>
      <c r="AM127" s="19">
        <v>232</v>
      </c>
      <c r="AN127">
        <v>1</v>
      </c>
      <c r="AO127" s="19">
        <v>249</v>
      </c>
      <c r="AP127">
        <v>1</v>
      </c>
      <c r="AQ127" s="19">
        <v>414</v>
      </c>
    </row>
    <row r="128" spans="1:43" x14ac:dyDescent="0.35">
      <c r="A128" s="18">
        <v>45416</v>
      </c>
      <c r="B128" t="s">
        <v>60</v>
      </c>
      <c r="C128" t="s">
        <v>61</v>
      </c>
      <c r="D128">
        <v>10</v>
      </c>
      <c r="E128">
        <v>5</v>
      </c>
      <c r="F128">
        <v>5</v>
      </c>
      <c r="G128" s="19">
        <v>5268</v>
      </c>
      <c r="H128" s="19">
        <v>4499</v>
      </c>
      <c r="I128" s="19">
        <v>769</v>
      </c>
      <c r="J128" s="19">
        <v>248</v>
      </c>
      <c r="K128" s="19">
        <v>103</v>
      </c>
      <c r="L128" s="19">
        <v>806</v>
      </c>
      <c r="M128" s="19">
        <v>116</v>
      </c>
      <c r="N128" s="19">
        <v>81</v>
      </c>
      <c r="O128" s="19">
        <f t="shared" si="2"/>
        <v>1354</v>
      </c>
      <c r="P128" s="19">
        <f t="shared" si="3"/>
        <v>3914</v>
      </c>
      <c r="Q128" t="s">
        <v>25</v>
      </c>
      <c r="R128" t="s">
        <v>64</v>
      </c>
      <c r="T128">
        <v>1</v>
      </c>
      <c r="U128" s="19">
        <v>1127</v>
      </c>
      <c r="V128">
        <v>0</v>
      </c>
      <c r="W128" s="19">
        <v>0</v>
      </c>
      <c r="X128">
        <v>1</v>
      </c>
      <c r="Y128" s="19">
        <v>1794</v>
      </c>
      <c r="Z128">
        <v>1</v>
      </c>
      <c r="AA128" s="19">
        <v>820</v>
      </c>
      <c r="AB128">
        <v>1</v>
      </c>
      <c r="AC128" s="19">
        <v>615</v>
      </c>
      <c r="AD128">
        <v>0</v>
      </c>
      <c r="AE128" s="19">
        <v>0</v>
      </c>
      <c r="AF128">
        <v>0</v>
      </c>
      <c r="AG128" s="19">
        <v>0</v>
      </c>
      <c r="AH128">
        <v>2</v>
      </c>
      <c r="AI128" s="19">
        <v>287</v>
      </c>
      <c r="AJ128">
        <v>1</v>
      </c>
      <c r="AK128" s="19">
        <v>72</v>
      </c>
      <c r="AL128">
        <v>1</v>
      </c>
      <c r="AM128" s="19">
        <v>143</v>
      </c>
      <c r="AN128">
        <v>1</v>
      </c>
      <c r="AO128" s="19">
        <v>154</v>
      </c>
      <c r="AP128">
        <v>1</v>
      </c>
      <c r="AQ128" s="19">
        <v>256</v>
      </c>
    </row>
    <row r="129" spans="1:43" x14ac:dyDescent="0.35">
      <c r="A129" s="18">
        <v>45417</v>
      </c>
      <c r="B129" t="s">
        <v>62</v>
      </c>
      <c r="C129" t="s">
        <v>61</v>
      </c>
      <c r="D129">
        <v>10</v>
      </c>
      <c r="E129">
        <v>4</v>
      </c>
      <c r="F129">
        <v>6</v>
      </c>
      <c r="G129" s="19">
        <v>5146</v>
      </c>
      <c r="H129" s="19">
        <v>3095</v>
      </c>
      <c r="I129" s="19">
        <v>2051</v>
      </c>
      <c r="J129" s="19">
        <v>248</v>
      </c>
      <c r="K129" s="19">
        <v>103</v>
      </c>
      <c r="L129" s="19">
        <v>806</v>
      </c>
      <c r="M129" s="19">
        <v>114</v>
      </c>
      <c r="N129" s="19">
        <v>81</v>
      </c>
      <c r="O129" s="19">
        <f t="shared" si="2"/>
        <v>1352</v>
      </c>
      <c r="P129" s="19">
        <f t="shared" si="3"/>
        <v>3794</v>
      </c>
      <c r="Q129" t="s">
        <v>23</v>
      </c>
      <c r="R129" t="s">
        <v>64</v>
      </c>
      <c r="T129">
        <v>1</v>
      </c>
      <c r="U129" s="19">
        <v>1289</v>
      </c>
      <c r="V129">
        <v>0</v>
      </c>
      <c r="W129" s="19">
        <v>0</v>
      </c>
      <c r="X129">
        <v>0</v>
      </c>
      <c r="Y129" s="19">
        <v>0</v>
      </c>
      <c r="Z129">
        <v>1</v>
      </c>
      <c r="AA129" s="19">
        <v>938</v>
      </c>
      <c r="AB129">
        <v>1</v>
      </c>
      <c r="AC129" s="19">
        <v>703</v>
      </c>
      <c r="AD129">
        <v>1</v>
      </c>
      <c r="AE129" s="19">
        <v>1172</v>
      </c>
      <c r="AF129">
        <v>0</v>
      </c>
      <c r="AG129" s="19">
        <v>0</v>
      </c>
      <c r="AH129">
        <v>2</v>
      </c>
      <c r="AI129" s="19">
        <v>328</v>
      </c>
      <c r="AJ129">
        <v>1</v>
      </c>
      <c r="AK129" s="19">
        <v>82</v>
      </c>
      <c r="AL129">
        <v>1</v>
      </c>
      <c r="AM129" s="19">
        <v>164</v>
      </c>
      <c r="AN129">
        <v>1</v>
      </c>
      <c r="AO129" s="19">
        <v>176</v>
      </c>
      <c r="AP129">
        <v>1</v>
      </c>
      <c r="AQ129" s="19">
        <v>293</v>
      </c>
    </row>
    <row r="130" spans="1:43" x14ac:dyDescent="0.35">
      <c r="A130" s="18">
        <v>45418</v>
      </c>
      <c r="B130" t="s">
        <v>52</v>
      </c>
      <c r="C130" t="s">
        <v>53</v>
      </c>
      <c r="D130">
        <v>7</v>
      </c>
      <c r="E130">
        <v>2</v>
      </c>
      <c r="F130">
        <v>5</v>
      </c>
      <c r="G130" s="19">
        <v>3793</v>
      </c>
      <c r="H130" s="19">
        <v>2632</v>
      </c>
      <c r="I130" s="19">
        <v>1161</v>
      </c>
      <c r="J130" s="19">
        <v>248</v>
      </c>
      <c r="K130" s="19">
        <v>103</v>
      </c>
      <c r="L130" s="19">
        <v>806</v>
      </c>
      <c r="M130" s="19">
        <v>84</v>
      </c>
      <c r="N130" s="19">
        <v>57</v>
      </c>
      <c r="O130" s="19">
        <f t="shared" si="2"/>
        <v>1298</v>
      </c>
      <c r="P130" s="19">
        <f t="shared" si="3"/>
        <v>2495</v>
      </c>
      <c r="Q130" t="s">
        <v>23</v>
      </c>
      <c r="R130" t="s">
        <v>64</v>
      </c>
      <c r="T130">
        <v>1</v>
      </c>
      <c r="U130" s="19">
        <v>1703</v>
      </c>
      <c r="V130">
        <v>0</v>
      </c>
      <c r="W130" s="19">
        <v>0</v>
      </c>
      <c r="X130">
        <v>0</v>
      </c>
      <c r="Y130" s="19">
        <v>0</v>
      </c>
      <c r="Z130">
        <v>0</v>
      </c>
      <c r="AA130" s="19">
        <v>0</v>
      </c>
      <c r="AB130">
        <v>1</v>
      </c>
      <c r="AC130" s="19">
        <v>929</v>
      </c>
      <c r="AD130">
        <v>0</v>
      </c>
      <c r="AE130" s="19">
        <v>0</v>
      </c>
      <c r="AF130">
        <v>0</v>
      </c>
      <c r="AG130" s="19">
        <v>0</v>
      </c>
      <c r="AH130">
        <v>1</v>
      </c>
      <c r="AI130" s="19">
        <v>217</v>
      </c>
      <c r="AJ130">
        <v>1</v>
      </c>
      <c r="AK130" s="19">
        <v>108</v>
      </c>
      <c r="AL130">
        <v>1</v>
      </c>
      <c r="AM130" s="19">
        <v>217</v>
      </c>
      <c r="AN130">
        <v>1</v>
      </c>
      <c r="AO130" s="19">
        <v>232</v>
      </c>
      <c r="AP130">
        <v>1</v>
      </c>
      <c r="AQ130" s="19">
        <v>387</v>
      </c>
    </row>
    <row r="131" spans="1:43" x14ac:dyDescent="0.35">
      <c r="A131" s="18">
        <v>45419</v>
      </c>
      <c r="B131" t="s">
        <v>56</v>
      </c>
      <c r="C131" t="s">
        <v>53</v>
      </c>
      <c r="D131">
        <v>7</v>
      </c>
      <c r="E131">
        <v>2</v>
      </c>
      <c r="F131">
        <v>5</v>
      </c>
      <c r="G131" s="19">
        <v>3753</v>
      </c>
      <c r="H131" s="19">
        <v>2604</v>
      </c>
      <c r="I131" s="19">
        <v>1149</v>
      </c>
      <c r="J131" s="19">
        <v>248</v>
      </c>
      <c r="K131" s="19">
        <v>103</v>
      </c>
      <c r="L131" s="19">
        <v>806</v>
      </c>
      <c r="M131" s="19">
        <v>83</v>
      </c>
      <c r="N131" s="19">
        <v>57</v>
      </c>
      <c r="O131" s="19">
        <f t="shared" si="2"/>
        <v>1297</v>
      </c>
      <c r="P131" s="19">
        <f t="shared" si="3"/>
        <v>2456</v>
      </c>
      <c r="Q131" t="s">
        <v>23</v>
      </c>
      <c r="R131" t="s">
        <v>64</v>
      </c>
      <c r="T131">
        <v>1</v>
      </c>
      <c r="U131" s="19">
        <v>1685</v>
      </c>
      <c r="V131">
        <v>0</v>
      </c>
      <c r="W131" s="19">
        <v>0</v>
      </c>
      <c r="X131">
        <v>0</v>
      </c>
      <c r="Y131" s="19">
        <v>0</v>
      </c>
      <c r="Z131">
        <v>0</v>
      </c>
      <c r="AA131" s="19">
        <v>0</v>
      </c>
      <c r="AB131">
        <v>1</v>
      </c>
      <c r="AC131" s="19">
        <v>919</v>
      </c>
      <c r="AD131">
        <v>0</v>
      </c>
      <c r="AE131" s="19">
        <v>0</v>
      </c>
      <c r="AF131">
        <v>0</v>
      </c>
      <c r="AG131" s="19">
        <v>0</v>
      </c>
      <c r="AH131">
        <v>1</v>
      </c>
      <c r="AI131" s="19">
        <v>214</v>
      </c>
      <c r="AJ131">
        <v>1</v>
      </c>
      <c r="AK131" s="19">
        <v>107</v>
      </c>
      <c r="AL131">
        <v>1</v>
      </c>
      <c r="AM131" s="19">
        <v>214</v>
      </c>
      <c r="AN131">
        <v>1</v>
      </c>
      <c r="AO131" s="19">
        <v>230</v>
      </c>
      <c r="AP131">
        <v>1</v>
      </c>
      <c r="AQ131" s="19">
        <v>383</v>
      </c>
    </row>
    <row r="132" spans="1:43" x14ac:dyDescent="0.35">
      <c r="A132" s="18">
        <v>45420</v>
      </c>
      <c r="B132" t="s">
        <v>57</v>
      </c>
      <c r="C132" t="s">
        <v>53</v>
      </c>
      <c r="D132">
        <v>10</v>
      </c>
      <c r="E132">
        <v>5</v>
      </c>
      <c r="F132">
        <v>5</v>
      </c>
      <c r="G132" s="19">
        <v>5740</v>
      </c>
      <c r="H132" s="19">
        <v>4902</v>
      </c>
      <c r="I132" s="19">
        <v>838</v>
      </c>
      <c r="J132" s="19">
        <v>248</v>
      </c>
      <c r="K132" s="19">
        <v>103</v>
      </c>
      <c r="L132" s="19">
        <v>806</v>
      </c>
      <c r="M132" s="19">
        <v>127</v>
      </c>
      <c r="N132" s="19">
        <v>81</v>
      </c>
      <c r="O132" s="19">
        <f t="shared" ref="O132:O195" si="4">SUM(J132:N132)</f>
        <v>1365</v>
      </c>
      <c r="P132" s="19">
        <f t="shared" ref="P132:P195" si="5">G132-O132</f>
        <v>4375</v>
      </c>
      <c r="Q132" t="s">
        <v>25</v>
      </c>
      <c r="R132" t="s">
        <v>64</v>
      </c>
      <c r="T132">
        <v>1</v>
      </c>
      <c r="U132" s="19">
        <v>1228</v>
      </c>
      <c r="V132">
        <v>0</v>
      </c>
      <c r="W132" s="19">
        <v>0</v>
      </c>
      <c r="X132">
        <v>1</v>
      </c>
      <c r="Y132" s="19">
        <v>1954</v>
      </c>
      <c r="Z132">
        <v>1</v>
      </c>
      <c r="AA132" s="19">
        <v>893</v>
      </c>
      <c r="AB132">
        <v>1</v>
      </c>
      <c r="AC132" s="19">
        <v>670</v>
      </c>
      <c r="AD132">
        <v>0</v>
      </c>
      <c r="AE132" s="19">
        <v>0</v>
      </c>
      <c r="AF132">
        <v>0</v>
      </c>
      <c r="AG132" s="19">
        <v>0</v>
      </c>
      <c r="AH132">
        <v>2</v>
      </c>
      <c r="AI132" s="19">
        <v>313</v>
      </c>
      <c r="AJ132">
        <v>1</v>
      </c>
      <c r="AK132" s="19">
        <v>78</v>
      </c>
      <c r="AL132">
        <v>1</v>
      </c>
      <c r="AM132" s="19">
        <v>156</v>
      </c>
      <c r="AN132">
        <v>1</v>
      </c>
      <c r="AO132" s="19">
        <v>168</v>
      </c>
      <c r="AP132">
        <v>1</v>
      </c>
      <c r="AQ132" s="19">
        <v>279</v>
      </c>
    </row>
    <row r="133" spans="1:43" x14ac:dyDescent="0.35">
      <c r="A133" s="18">
        <v>45421</v>
      </c>
      <c r="B133" t="s">
        <v>58</v>
      </c>
      <c r="C133" t="s">
        <v>53</v>
      </c>
      <c r="D133">
        <v>9</v>
      </c>
      <c r="E133">
        <v>4</v>
      </c>
      <c r="F133">
        <v>5</v>
      </c>
      <c r="G133" s="19">
        <v>4912</v>
      </c>
      <c r="H133" s="19">
        <v>3825</v>
      </c>
      <c r="I133" s="19">
        <v>1087</v>
      </c>
      <c r="J133" s="19">
        <v>248</v>
      </c>
      <c r="K133" s="19">
        <v>103</v>
      </c>
      <c r="L133" s="19">
        <v>806</v>
      </c>
      <c r="M133" s="19">
        <v>108</v>
      </c>
      <c r="N133" s="19">
        <v>73</v>
      </c>
      <c r="O133" s="19">
        <f t="shared" si="4"/>
        <v>1338</v>
      </c>
      <c r="P133" s="19">
        <f t="shared" si="5"/>
        <v>3574</v>
      </c>
      <c r="Q133" t="s">
        <v>23</v>
      </c>
      <c r="R133" t="s">
        <v>64</v>
      </c>
      <c r="T133">
        <v>1</v>
      </c>
      <c r="U133" s="19">
        <v>1594</v>
      </c>
      <c r="V133">
        <v>0</v>
      </c>
      <c r="W133" s="19">
        <v>0</v>
      </c>
      <c r="X133">
        <v>0</v>
      </c>
      <c r="Y133" s="19">
        <v>0</v>
      </c>
      <c r="Z133">
        <v>1</v>
      </c>
      <c r="AA133" s="19">
        <v>1159</v>
      </c>
      <c r="AB133">
        <v>1</v>
      </c>
      <c r="AC133" s="19">
        <v>869</v>
      </c>
      <c r="AD133">
        <v>0</v>
      </c>
      <c r="AE133" s="19">
        <v>0</v>
      </c>
      <c r="AF133">
        <v>0</v>
      </c>
      <c r="AG133" s="19">
        <v>0</v>
      </c>
      <c r="AH133">
        <v>2</v>
      </c>
      <c r="AI133" s="19">
        <v>406</v>
      </c>
      <c r="AJ133">
        <v>1</v>
      </c>
      <c r="AK133" s="19">
        <v>101</v>
      </c>
      <c r="AL133">
        <v>1</v>
      </c>
      <c r="AM133" s="19">
        <v>203</v>
      </c>
      <c r="AN133">
        <v>1</v>
      </c>
      <c r="AO133" s="19">
        <v>217</v>
      </c>
      <c r="AP133">
        <v>1</v>
      </c>
      <c r="AQ133" s="19">
        <v>362</v>
      </c>
    </row>
    <row r="134" spans="1:43" x14ac:dyDescent="0.35">
      <c r="A134" s="18">
        <v>45422</v>
      </c>
      <c r="B134" t="s">
        <v>59</v>
      </c>
      <c r="C134" t="s">
        <v>53</v>
      </c>
      <c r="D134">
        <v>10</v>
      </c>
      <c r="E134">
        <v>5</v>
      </c>
      <c r="F134">
        <v>5</v>
      </c>
      <c r="G134" s="19">
        <v>5481</v>
      </c>
      <c r="H134" s="19">
        <v>4549</v>
      </c>
      <c r="I134" s="19">
        <v>932</v>
      </c>
      <c r="J134" s="19">
        <v>248</v>
      </c>
      <c r="K134" s="19">
        <v>103</v>
      </c>
      <c r="L134" s="19">
        <v>806</v>
      </c>
      <c r="M134" s="19">
        <v>121</v>
      </c>
      <c r="N134" s="19">
        <v>81</v>
      </c>
      <c r="O134" s="19">
        <f t="shared" si="4"/>
        <v>1359</v>
      </c>
      <c r="P134" s="19">
        <f t="shared" si="5"/>
        <v>4122</v>
      </c>
      <c r="Q134" t="s">
        <v>25</v>
      </c>
      <c r="R134" t="s">
        <v>64</v>
      </c>
      <c r="T134">
        <v>1</v>
      </c>
      <c r="U134" s="19">
        <v>1367</v>
      </c>
      <c r="V134">
        <v>0</v>
      </c>
      <c r="W134" s="19">
        <v>0</v>
      </c>
      <c r="X134">
        <v>1</v>
      </c>
      <c r="Y134" s="19">
        <v>2175</v>
      </c>
      <c r="Z134">
        <v>0</v>
      </c>
      <c r="AA134" s="19">
        <v>0</v>
      </c>
      <c r="AB134">
        <v>1</v>
      </c>
      <c r="AC134" s="19">
        <v>746</v>
      </c>
      <c r="AD134">
        <v>0</v>
      </c>
      <c r="AE134" s="19">
        <v>0</v>
      </c>
      <c r="AF134">
        <v>0</v>
      </c>
      <c r="AG134" s="19">
        <v>0</v>
      </c>
      <c r="AH134">
        <v>2</v>
      </c>
      <c r="AI134" s="19">
        <v>348</v>
      </c>
      <c r="AJ134">
        <v>2</v>
      </c>
      <c r="AK134" s="19">
        <v>174</v>
      </c>
      <c r="AL134">
        <v>1</v>
      </c>
      <c r="AM134" s="19">
        <v>174</v>
      </c>
      <c r="AN134">
        <v>1</v>
      </c>
      <c r="AO134" s="19">
        <v>186</v>
      </c>
      <c r="AP134">
        <v>1</v>
      </c>
      <c r="AQ134" s="19">
        <v>311</v>
      </c>
    </row>
    <row r="135" spans="1:43" x14ac:dyDescent="0.35">
      <c r="A135" s="18">
        <v>45423</v>
      </c>
      <c r="B135" t="s">
        <v>60</v>
      </c>
      <c r="C135" t="s">
        <v>61</v>
      </c>
      <c r="D135">
        <v>14</v>
      </c>
      <c r="E135">
        <v>8</v>
      </c>
      <c r="F135">
        <v>6</v>
      </c>
      <c r="G135" s="19">
        <v>7410</v>
      </c>
      <c r="H135" s="19">
        <v>5415</v>
      </c>
      <c r="I135" s="19">
        <v>1995</v>
      </c>
      <c r="J135" s="19">
        <v>248</v>
      </c>
      <c r="K135" s="19">
        <v>103</v>
      </c>
      <c r="L135" s="19">
        <v>806</v>
      </c>
      <c r="M135" s="19">
        <v>163</v>
      </c>
      <c r="N135" s="19">
        <v>113</v>
      </c>
      <c r="O135" s="19">
        <f t="shared" si="4"/>
        <v>1433</v>
      </c>
      <c r="P135" s="19">
        <f t="shared" si="5"/>
        <v>5977</v>
      </c>
      <c r="Q135" t="s">
        <v>25</v>
      </c>
      <c r="R135" t="s">
        <v>64</v>
      </c>
      <c r="T135">
        <v>1</v>
      </c>
      <c r="U135" s="19">
        <v>1254</v>
      </c>
      <c r="V135">
        <v>0</v>
      </c>
      <c r="W135" s="19">
        <v>0</v>
      </c>
      <c r="X135">
        <v>1</v>
      </c>
      <c r="Y135" s="19">
        <v>1995</v>
      </c>
      <c r="Z135">
        <v>1</v>
      </c>
      <c r="AA135" s="19">
        <v>912</v>
      </c>
      <c r="AB135">
        <v>1</v>
      </c>
      <c r="AC135" s="19">
        <v>684</v>
      </c>
      <c r="AD135">
        <v>1</v>
      </c>
      <c r="AE135" s="19">
        <v>1140</v>
      </c>
      <c r="AF135">
        <v>0</v>
      </c>
      <c r="AG135" s="19">
        <v>0</v>
      </c>
      <c r="AH135">
        <v>2</v>
      </c>
      <c r="AI135" s="19">
        <v>319</v>
      </c>
      <c r="AJ135">
        <v>2</v>
      </c>
      <c r="AK135" s="19">
        <v>160</v>
      </c>
      <c r="AL135">
        <v>2</v>
      </c>
      <c r="AM135" s="19">
        <v>319</v>
      </c>
      <c r="AN135">
        <v>2</v>
      </c>
      <c r="AO135" s="19">
        <v>342</v>
      </c>
      <c r="AP135">
        <v>1</v>
      </c>
      <c r="AQ135" s="19">
        <v>285</v>
      </c>
    </row>
    <row r="136" spans="1:43" x14ac:dyDescent="0.35">
      <c r="A136" s="18">
        <v>45424</v>
      </c>
      <c r="B136" t="s">
        <v>62</v>
      </c>
      <c r="C136" t="s">
        <v>61</v>
      </c>
      <c r="D136">
        <v>12</v>
      </c>
      <c r="E136">
        <v>6</v>
      </c>
      <c r="F136">
        <v>6</v>
      </c>
      <c r="G136" s="19">
        <v>6113</v>
      </c>
      <c r="H136" s="19">
        <v>4390</v>
      </c>
      <c r="I136" s="19">
        <v>1723</v>
      </c>
      <c r="J136" s="19">
        <v>248</v>
      </c>
      <c r="K136" s="19">
        <v>103</v>
      </c>
      <c r="L136" s="19">
        <v>806</v>
      </c>
      <c r="M136" s="19">
        <v>135</v>
      </c>
      <c r="N136" s="19">
        <v>97</v>
      </c>
      <c r="O136" s="19">
        <f t="shared" si="4"/>
        <v>1389</v>
      </c>
      <c r="P136" s="19">
        <f t="shared" si="5"/>
        <v>4724</v>
      </c>
      <c r="Q136" t="s">
        <v>25</v>
      </c>
      <c r="R136" t="s">
        <v>64</v>
      </c>
      <c r="T136">
        <v>1</v>
      </c>
      <c r="U136" s="19">
        <v>1083</v>
      </c>
      <c r="V136">
        <v>0</v>
      </c>
      <c r="W136" s="19">
        <v>0</v>
      </c>
      <c r="X136">
        <v>1</v>
      </c>
      <c r="Y136" s="19">
        <v>1723</v>
      </c>
      <c r="Z136">
        <v>1</v>
      </c>
      <c r="AA136" s="19">
        <v>788</v>
      </c>
      <c r="AB136">
        <v>1</v>
      </c>
      <c r="AC136" s="19">
        <v>591</v>
      </c>
      <c r="AD136">
        <v>1</v>
      </c>
      <c r="AE136" s="19">
        <v>984</v>
      </c>
      <c r="AF136">
        <v>0</v>
      </c>
      <c r="AG136" s="19">
        <v>0</v>
      </c>
      <c r="AH136">
        <v>2</v>
      </c>
      <c r="AI136" s="19">
        <v>276</v>
      </c>
      <c r="AJ136">
        <v>2</v>
      </c>
      <c r="AK136" s="19">
        <v>138</v>
      </c>
      <c r="AL136">
        <v>1</v>
      </c>
      <c r="AM136" s="19">
        <v>138</v>
      </c>
      <c r="AN136">
        <v>1</v>
      </c>
      <c r="AO136" s="19">
        <v>148</v>
      </c>
      <c r="AP136">
        <v>1</v>
      </c>
      <c r="AQ136" s="19">
        <v>246</v>
      </c>
    </row>
    <row r="137" spans="1:43" x14ac:dyDescent="0.35">
      <c r="A137" s="18">
        <v>45425</v>
      </c>
      <c r="B137" t="s">
        <v>52</v>
      </c>
      <c r="C137" t="s">
        <v>53</v>
      </c>
      <c r="D137">
        <v>9</v>
      </c>
      <c r="E137">
        <v>3</v>
      </c>
      <c r="F137">
        <v>6</v>
      </c>
      <c r="G137" s="19">
        <v>5079</v>
      </c>
      <c r="H137" s="19">
        <v>2603</v>
      </c>
      <c r="I137" s="19">
        <v>2476</v>
      </c>
      <c r="J137" s="19">
        <v>248</v>
      </c>
      <c r="K137" s="19">
        <v>103</v>
      </c>
      <c r="L137" s="19">
        <v>806</v>
      </c>
      <c r="M137" s="19">
        <v>112</v>
      </c>
      <c r="N137" s="19">
        <v>73</v>
      </c>
      <c r="O137" s="19">
        <f t="shared" si="4"/>
        <v>1342</v>
      </c>
      <c r="P137" s="19">
        <f t="shared" si="5"/>
        <v>3737</v>
      </c>
      <c r="Q137" t="s">
        <v>23</v>
      </c>
      <c r="R137" t="s">
        <v>64</v>
      </c>
      <c r="T137">
        <v>1</v>
      </c>
      <c r="U137" s="19">
        <v>1556</v>
      </c>
      <c r="V137">
        <v>0</v>
      </c>
      <c r="W137" s="19">
        <v>0</v>
      </c>
      <c r="X137">
        <v>0</v>
      </c>
      <c r="Y137" s="19">
        <v>0</v>
      </c>
      <c r="Z137">
        <v>0</v>
      </c>
      <c r="AA137" s="19">
        <v>0</v>
      </c>
      <c r="AB137">
        <v>1</v>
      </c>
      <c r="AC137" s="19">
        <v>849</v>
      </c>
      <c r="AD137">
        <v>1</v>
      </c>
      <c r="AE137" s="19">
        <v>1415</v>
      </c>
      <c r="AF137">
        <v>0</v>
      </c>
      <c r="AG137" s="19">
        <v>0</v>
      </c>
      <c r="AH137">
        <v>2</v>
      </c>
      <c r="AI137" s="19">
        <v>396</v>
      </c>
      <c r="AJ137">
        <v>1</v>
      </c>
      <c r="AK137" s="19">
        <v>99</v>
      </c>
      <c r="AL137">
        <v>1</v>
      </c>
      <c r="AM137" s="19">
        <v>198</v>
      </c>
      <c r="AN137">
        <v>1</v>
      </c>
      <c r="AO137" s="19">
        <v>212</v>
      </c>
      <c r="AP137">
        <v>1</v>
      </c>
      <c r="AQ137" s="19">
        <v>354</v>
      </c>
    </row>
    <row r="138" spans="1:43" x14ac:dyDescent="0.35">
      <c r="A138" s="18">
        <v>45426</v>
      </c>
      <c r="B138" t="s">
        <v>56</v>
      </c>
      <c r="C138" t="s">
        <v>53</v>
      </c>
      <c r="D138">
        <v>10</v>
      </c>
      <c r="E138">
        <v>4</v>
      </c>
      <c r="F138">
        <v>6</v>
      </c>
      <c r="G138" s="19">
        <v>5229</v>
      </c>
      <c r="H138" s="19">
        <v>3145</v>
      </c>
      <c r="I138" s="19">
        <v>2084</v>
      </c>
      <c r="J138" s="19">
        <v>248</v>
      </c>
      <c r="K138" s="19">
        <v>103</v>
      </c>
      <c r="L138" s="19">
        <v>806</v>
      </c>
      <c r="M138" s="19">
        <v>115</v>
      </c>
      <c r="N138" s="19">
        <v>81</v>
      </c>
      <c r="O138" s="19">
        <f t="shared" si="4"/>
        <v>1353</v>
      </c>
      <c r="P138" s="19">
        <f t="shared" si="5"/>
        <v>3876</v>
      </c>
      <c r="Q138" t="s">
        <v>23</v>
      </c>
      <c r="R138" t="s">
        <v>64</v>
      </c>
      <c r="T138">
        <v>1</v>
      </c>
      <c r="U138" s="19">
        <v>1310</v>
      </c>
      <c r="V138">
        <v>0</v>
      </c>
      <c r="W138" s="19">
        <v>0</v>
      </c>
      <c r="X138">
        <v>0</v>
      </c>
      <c r="Y138" s="19">
        <v>0</v>
      </c>
      <c r="Z138">
        <v>1</v>
      </c>
      <c r="AA138" s="19">
        <v>953</v>
      </c>
      <c r="AB138">
        <v>1</v>
      </c>
      <c r="AC138" s="19">
        <v>715</v>
      </c>
      <c r="AD138">
        <v>1</v>
      </c>
      <c r="AE138" s="19">
        <v>1191</v>
      </c>
      <c r="AF138">
        <v>0</v>
      </c>
      <c r="AG138" s="19">
        <v>0</v>
      </c>
      <c r="AH138">
        <v>2</v>
      </c>
      <c r="AI138" s="19">
        <v>334</v>
      </c>
      <c r="AJ138">
        <v>1</v>
      </c>
      <c r="AK138" s="19">
        <v>83</v>
      </c>
      <c r="AL138">
        <v>1</v>
      </c>
      <c r="AM138" s="19">
        <v>167</v>
      </c>
      <c r="AN138">
        <v>1</v>
      </c>
      <c r="AO138" s="19">
        <v>179</v>
      </c>
      <c r="AP138">
        <v>1</v>
      </c>
      <c r="AQ138" s="19">
        <v>298</v>
      </c>
    </row>
    <row r="139" spans="1:43" x14ac:dyDescent="0.35">
      <c r="A139" s="18">
        <v>45427</v>
      </c>
      <c r="B139" t="s">
        <v>57</v>
      </c>
      <c r="C139" t="s">
        <v>53</v>
      </c>
      <c r="D139">
        <v>8</v>
      </c>
      <c r="E139">
        <v>3</v>
      </c>
      <c r="F139">
        <v>5</v>
      </c>
      <c r="G139" s="19">
        <v>4133</v>
      </c>
      <c r="H139" s="19">
        <v>3179</v>
      </c>
      <c r="I139" s="19">
        <v>954</v>
      </c>
      <c r="J139" s="19">
        <v>248</v>
      </c>
      <c r="K139" s="19">
        <v>103</v>
      </c>
      <c r="L139" s="19">
        <v>806</v>
      </c>
      <c r="M139" s="19">
        <v>91</v>
      </c>
      <c r="N139" s="19">
        <v>65</v>
      </c>
      <c r="O139" s="19">
        <f t="shared" si="4"/>
        <v>1313</v>
      </c>
      <c r="P139" s="19">
        <f t="shared" si="5"/>
        <v>2820</v>
      </c>
      <c r="Q139" t="s">
        <v>23</v>
      </c>
      <c r="R139" t="s">
        <v>64</v>
      </c>
      <c r="T139">
        <v>1</v>
      </c>
      <c r="U139" s="19">
        <v>1399</v>
      </c>
      <c r="V139">
        <v>0</v>
      </c>
      <c r="W139" s="19">
        <v>0</v>
      </c>
      <c r="X139">
        <v>0</v>
      </c>
      <c r="Y139" s="19">
        <v>0</v>
      </c>
      <c r="Z139">
        <v>1</v>
      </c>
      <c r="AA139" s="19">
        <v>1017</v>
      </c>
      <c r="AB139">
        <v>1</v>
      </c>
      <c r="AC139" s="19">
        <v>763</v>
      </c>
      <c r="AD139">
        <v>0</v>
      </c>
      <c r="AE139" s="19">
        <v>0</v>
      </c>
      <c r="AF139">
        <v>0</v>
      </c>
      <c r="AG139" s="19">
        <v>0</v>
      </c>
      <c r="AH139">
        <v>1</v>
      </c>
      <c r="AI139" s="19">
        <v>178</v>
      </c>
      <c r="AJ139">
        <v>1</v>
      </c>
      <c r="AK139" s="19">
        <v>89</v>
      </c>
      <c r="AL139">
        <v>1</v>
      </c>
      <c r="AM139" s="19">
        <v>178</v>
      </c>
      <c r="AN139">
        <v>1</v>
      </c>
      <c r="AO139" s="19">
        <v>191</v>
      </c>
      <c r="AP139">
        <v>1</v>
      </c>
      <c r="AQ139" s="19">
        <v>318</v>
      </c>
    </row>
    <row r="140" spans="1:43" x14ac:dyDescent="0.35">
      <c r="A140" s="18">
        <v>45428</v>
      </c>
      <c r="B140" t="s">
        <v>58</v>
      </c>
      <c r="C140" t="s">
        <v>53</v>
      </c>
      <c r="D140">
        <v>8</v>
      </c>
      <c r="E140">
        <v>3</v>
      </c>
      <c r="F140">
        <v>5</v>
      </c>
      <c r="G140" s="19">
        <v>4387</v>
      </c>
      <c r="H140" s="19">
        <v>3375</v>
      </c>
      <c r="I140" s="19">
        <v>1012</v>
      </c>
      <c r="J140" s="19">
        <v>248</v>
      </c>
      <c r="K140" s="19">
        <v>103</v>
      </c>
      <c r="L140" s="19">
        <v>806</v>
      </c>
      <c r="M140" s="19">
        <v>97</v>
      </c>
      <c r="N140" s="19">
        <v>65</v>
      </c>
      <c r="O140" s="19">
        <f t="shared" si="4"/>
        <v>1319</v>
      </c>
      <c r="P140" s="19">
        <f t="shared" si="5"/>
        <v>3068</v>
      </c>
      <c r="Q140" t="s">
        <v>23</v>
      </c>
      <c r="R140" t="s">
        <v>64</v>
      </c>
      <c r="T140">
        <v>1</v>
      </c>
      <c r="U140" s="19">
        <v>1485</v>
      </c>
      <c r="V140">
        <v>0</v>
      </c>
      <c r="W140" s="19">
        <v>0</v>
      </c>
      <c r="X140">
        <v>0</v>
      </c>
      <c r="Y140" s="19">
        <v>0</v>
      </c>
      <c r="Z140">
        <v>1</v>
      </c>
      <c r="AA140" s="19">
        <v>1080</v>
      </c>
      <c r="AB140">
        <v>1</v>
      </c>
      <c r="AC140" s="19">
        <v>810</v>
      </c>
      <c r="AD140">
        <v>0</v>
      </c>
      <c r="AE140" s="19">
        <v>0</v>
      </c>
      <c r="AF140">
        <v>0</v>
      </c>
      <c r="AG140" s="19">
        <v>0</v>
      </c>
      <c r="AH140">
        <v>1</v>
      </c>
      <c r="AI140" s="19">
        <v>189</v>
      </c>
      <c r="AJ140">
        <v>1</v>
      </c>
      <c r="AK140" s="19">
        <v>94</v>
      </c>
      <c r="AL140">
        <v>1</v>
      </c>
      <c r="AM140" s="19">
        <v>189</v>
      </c>
      <c r="AN140">
        <v>1</v>
      </c>
      <c r="AO140" s="19">
        <v>202</v>
      </c>
      <c r="AP140">
        <v>1</v>
      </c>
      <c r="AQ140" s="19">
        <v>337</v>
      </c>
    </row>
    <row r="141" spans="1:43" x14ac:dyDescent="0.35">
      <c r="A141" s="18">
        <v>45429</v>
      </c>
      <c r="B141" t="s">
        <v>59</v>
      </c>
      <c r="C141" t="s">
        <v>53</v>
      </c>
      <c r="D141">
        <v>8</v>
      </c>
      <c r="E141">
        <v>3</v>
      </c>
      <c r="F141">
        <v>5</v>
      </c>
      <c r="G141" s="19">
        <v>4639</v>
      </c>
      <c r="H141" s="19">
        <v>3296</v>
      </c>
      <c r="I141" s="19">
        <v>1343</v>
      </c>
      <c r="J141" s="19">
        <v>248</v>
      </c>
      <c r="K141" s="19">
        <v>103</v>
      </c>
      <c r="L141" s="19">
        <v>806</v>
      </c>
      <c r="M141" s="19">
        <v>102</v>
      </c>
      <c r="N141" s="19">
        <v>65</v>
      </c>
      <c r="O141" s="19">
        <f t="shared" si="4"/>
        <v>1324</v>
      </c>
      <c r="P141" s="19">
        <f t="shared" si="5"/>
        <v>3315</v>
      </c>
      <c r="Q141" t="s">
        <v>23</v>
      </c>
      <c r="R141" t="s">
        <v>64</v>
      </c>
      <c r="T141">
        <v>1</v>
      </c>
      <c r="U141" s="19">
        <v>1970</v>
      </c>
      <c r="V141">
        <v>0</v>
      </c>
      <c r="W141" s="19">
        <v>0</v>
      </c>
      <c r="X141">
        <v>0</v>
      </c>
      <c r="Y141" s="19">
        <v>0</v>
      </c>
      <c r="Z141">
        <v>0</v>
      </c>
      <c r="AA141" s="19">
        <v>0</v>
      </c>
      <c r="AB141">
        <v>1</v>
      </c>
      <c r="AC141" s="19">
        <v>1075</v>
      </c>
      <c r="AD141">
        <v>0</v>
      </c>
      <c r="AE141" s="19">
        <v>0</v>
      </c>
      <c r="AF141">
        <v>0</v>
      </c>
      <c r="AG141" s="19">
        <v>0</v>
      </c>
      <c r="AH141">
        <v>2</v>
      </c>
      <c r="AI141" s="19">
        <v>502</v>
      </c>
      <c r="AJ141">
        <v>1</v>
      </c>
      <c r="AK141" s="19">
        <v>125</v>
      </c>
      <c r="AL141">
        <v>1</v>
      </c>
      <c r="AM141" s="19">
        <v>251</v>
      </c>
      <c r="AN141">
        <v>1</v>
      </c>
      <c r="AO141" s="19">
        <v>269</v>
      </c>
      <c r="AP141">
        <v>1</v>
      </c>
      <c r="AQ141" s="19">
        <v>448</v>
      </c>
    </row>
    <row r="142" spans="1:43" x14ac:dyDescent="0.35">
      <c r="A142" s="18">
        <v>45430</v>
      </c>
      <c r="B142" t="s">
        <v>60</v>
      </c>
      <c r="C142" t="s">
        <v>61</v>
      </c>
      <c r="D142">
        <v>10</v>
      </c>
      <c r="E142">
        <v>5</v>
      </c>
      <c r="F142">
        <v>5</v>
      </c>
      <c r="G142" s="19">
        <v>5100</v>
      </c>
      <c r="H142" s="19">
        <v>3995</v>
      </c>
      <c r="I142" s="19">
        <v>1105</v>
      </c>
      <c r="J142" s="19">
        <v>248</v>
      </c>
      <c r="K142" s="19">
        <v>103</v>
      </c>
      <c r="L142" s="19">
        <v>806</v>
      </c>
      <c r="M142" s="19">
        <v>112</v>
      </c>
      <c r="N142" s="19">
        <v>81</v>
      </c>
      <c r="O142" s="19">
        <f t="shared" si="4"/>
        <v>1350</v>
      </c>
      <c r="P142" s="19">
        <f t="shared" si="5"/>
        <v>3750</v>
      </c>
      <c r="Q142" t="s">
        <v>23</v>
      </c>
      <c r="R142" t="s">
        <v>64</v>
      </c>
      <c r="T142">
        <v>1</v>
      </c>
      <c r="U142" s="19">
        <v>1621</v>
      </c>
      <c r="V142">
        <v>0</v>
      </c>
      <c r="W142" s="19">
        <v>0</v>
      </c>
      <c r="X142">
        <v>0</v>
      </c>
      <c r="Y142" s="19">
        <v>0</v>
      </c>
      <c r="Z142">
        <v>1</v>
      </c>
      <c r="AA142" s="19">
        <v>1179</v>
      </c>
      <c r="AB142">
        <v>1</v>
      </c>
      <c r="AC142" s="19">
        <v>884</v>
      </c>
      <c r="AD142">
        <v>0</v>
      </c>
      <c r="AE142" s="19">
        <v>0</v>
      </c>
      <c r="AF142">
        <v>0</v>
      </c>
      <c r="AG142" s="19">
        <v>0</v>
      </c>
      <c r="AH142">
        <v>2</v>
      </c>
      <c r="AI142" s="19">
        <v>413</v>
      </c>
      <c r="AJ142">
        <v>2</v>
      </c>
      <c r="AK142" s="19">
        <v>206</v>
      </c>
      <c r="AL142">
        <v>1</v>
      </c>
      <c r="AM142" s="19">
        <v>206</v>
      </c>
      <c r="AN142">
        <v>1</v>
      </c>
      <c r="AO142" s="19">
        <v>221</v>
      </c>
      <c r="AP142">
        <v>1</v>
      </c>
      <c r="AQ142" s="19">
        <v>368</v>
      </c>
    </row>
    <row r="143" spans="1:43" x14ac:dyDescent="0.35">
      <c r="A143" s="18">
        <v>45431</v>
      </c>
      <c r="B143" t="s">
        <v>62</v>
      </c>
      <c r="C143" t="s">
        <v>61</v>
      </c>
      <c r="D143">
        <v>9</v>
      </c>
      <c r="E143">
        <v>3</v>
      </c>
      <c r="F143">
        <v>6</v>
      </c>
      <c r="G143" s="19">
        <v>4821</v>
      </c>
      <c r="H143" s="19">
        <v>2836</v>
      </c>
      <c r="I143" s="19">
        <v>1985</v>
      </c>
      <c r="J143" s="19">
        <v>248</v>
      </c>
      <c r="K143" s="19">
        <v>103</v>
      </c>
      <c r="L143" s="19">
        <v>806</v>
      </c>
      <c r="M143" s="19">
        <v>106</v>
      </c>
      <c r="N143" s="19">
        <v>73</v>
      </c>
      <c r="O143" s="19">
        <f t="shared" si="4"/>
        <v>1336</v>
      </c>
      <c r="P143" s="19">
        <f t="shared" si="5"/>
        <v>3485</v>
      </c>
      <c r="Q143" t="s">
        <v>23</v>
      </c>
      <c r="R143" t="s">
        <v>64</v>
      </c>
      <c r="T143">
        <v>1</v>
      </c>
      <c r="U143" s="19">
        <v>1248</v>
      </c>
      <c r="V143">
        <v>0</v>
      </c>
      <c r="W143" s="19">
        <v>0</v>
      </c>
      <c r="X143">
        <v>0</v>
      </c>
      <c r="Y143" s="19">
        <v>0</v>
      </c>
      <c r="Z143">
        <v>1</v>
      </c>
      <c r="AA143" s="19">
        <v>907</v>
      </c>
      <c r="AB143">
        <v>1</v>
      </c>
      <c r="AC143" s="19">
        <v>681</v>
      </c>
      <c r="AD143">
        <v>1</v>
      </c>
      <c r="AE143" s="19">
        <v>1134</v>
      </c>
      <c r="AF143">
        <v>0</v>
      </c>
      <c r="AG143" s="19">
        <v>0</v>
      </c>
      <c r="AH143">
        <v>1</v>
      </c>
      <c r="AI143" s="19">
        <v>159</v>
      </c>
      <c r="AJ143">
        <v>1</v>
      </c>
      <c r="AK143" s="19">
        <v>79</v>
      </c>
      <c r="AL143">
        <v>1</v>
      </c>
      <c r="AM143" s="19">
        <v>159</v>
      </c>
      <c r="AN143">
        <v>1</v>
      </c>
      <c r="AO143" s="19">
        <v>170</v>
      </c>
      <c r="AP143">
        <v>1</v>
      </c>
      <c r="AQ143" s="19">
        <v>284</v>
      </c>
    </row>
    <row r="144" spans="1:43" x14ac:dyDescent="0.35">
      <c r="A144" s="18">
        <v>45432</v>
      </c>
      <c r="B144" t="s">
        <v>52</v>
      </c>
      <c r="C144" t="s">
        <v>53</v>
      </c>
      <c r="D144">
        <v>7</v>
      </c>
      <c r="E144">
        <v>2</v>
      </c>
      <c r="F144">
        <v>5</v>
      </c>
      <c r="G144" s="19">
        <v>3736</v>
      </c>
      <c r="H144" s="19">
        <v>2592</v>
      </c>
      <c r="I144" s="19">
        <v>1144</v>
      </c>
      <c r="J144" s="19">
        <v>248</v>
      </c>
      <c r="K144" s="19">
        <v>103</v>
      </c>
      <c r="L144" s="19">
        <v>806</v>
      </c>
      <c r="M144" s="19">
        <v>82</v>
      </c>
      <c r="N144" s="19">
        <v>57</v>
      </c>
      <c r="O144" s="19">
        <f t="shared" si="4"/>
        <v>1296</v>
      </c>
      <c r="P144" s="19">
        <f t="shared" si="5"/>
        <v>2440</v>
      </c>
      <c r="Q144" t="s">
        <v>23</v>
      </c>
      <c r="R144" t="s">
        <v>64</v>
      </c>
      <c r="T144">
        <v>1</v>
      </c>
      <c r="U144" s="19">
        <v>1677</v>
      </c>
      <c r="V144">
        <v>0</v>
      </c>
      <c r="W144" s="19">
        <v>0</v>
      </c>
      <c r="X144">
        <v>0</v>
      </c>
      <c r="Y144" s="19">
        <v>0</v>
      </c>
      <c r="Z144">
        <v>0</v>
      </c>
      <c r="AA144" s="19">
        <v>0</v>
      </c>
      <c r="AB144">
        <v>1</v>
      </c>
      <c r="AC144" s="19">
        <v>915</v>
      </c>
      <c r="AD144">
        <v>0</v>
      </c>
      <c r="AE144" s="19">
        <v>0</v>
      </c>
      <c r="AF144">
        <v>0</v>
      </c>
      <c r="AG144" s="19">
        <v>0</v>
      </c>
      <c r="AH144">
        <v>1</v>
      </c>
      <c r="AI144" s="19">
        <v>213</v>
      </c>
      <c r="AJ144">
        <v>1</v>
      </c>
      <c r="AK144" s="19">
        <v>107</v>
      </c>
      <c r="AL144">
        <v>1</v>
      </c>
      <c r="AM144" s="19">
        <v>213</v>
      </c>
      <c r="AN144">
        <v>1</v>
      </c>
      <c r="AO144" s="19">
        <v>229</v>
      </c>
      <c r="AP144">
        <v>1</v>
      </c>
      <c r="AQ144" s="19">
        <v>381</v>
      </c>
    </row>
    <row r="145" spans="1:43" x14ac:dyDescent="0.35">
      <c r="A145" s="18">
        <v>45433</v>
      </c>
      <c r="B145" t="s">
        <v>56</v>
      </c>
      <c r="C145" t="s">
        <v>53</v>
      </c>
      <c r="D145">
        <v>8</v>
      </c>
      <c r="E145">
        <v>3</v>
      </c>
      <c r="F145">
        <v>5</v>
      </c>
      <c r="G145" s="19">
        <v>4051</v>
      </c>
      <c r="H145" s="19">
        <v>3328</v>
      </c>
      <c r="I145" s="19">
        <v>723</v>
      </c>
      <c r="J145" s="19">
        <v>248</v>
      </c>
      <c r="K145" s="19">
        <v>103</v>
      </c>
      <c r="L145" s="19">
        <v>806</v>
      </c>
      <c r="M145" s="19">
        <v>89</v>
      </c>
      <c r="N145" s="19">
        <v>65</v>
      </c>
      <c r="O145" s="19">
        <f t="shared" si="4"/>
        <v>1311</v>
      </c>
      <c r="P145" s="19">
        <f t="shared" si="5"/>
        <v>2740</v>
      </c>
      <c r="Q145" t="s">
        <v>25</v>
      </c>
      <c r="R145" t="s">
        <v>64</v>
      </c>
      <c r="T145">
        <v>1</v>
      </c>
      <c r="U145" s="19">
        <v>1061</v>
      </c>
      <c r="V145">
        <v>0</v>
      </c>
      <c r="W145" s="19">
        <v>0</v>
      </c>
      <c r="X145">
        <v>1</v>
      </c>
      <c r="Y145" s="19">
        <v>1688</v>
      </c>
      <c r="Z145">
        <v>0</v>
      </c>
      <c r="AA145" s="19">
        <v>0</v>
      </c>
      <c r="AB145">
        <v>1</v>
      </c>
      <c r="AC145" s="19">
        <v>579</v>
      </c>
      <c r="AD145">
        <v>0</v>
      </c>
      <c r="AE145" s="19">
        <v>0</v>
      </c>
      <c r="AF145">
        <v>0</v>
      </c>
      <c r="AG145" s="19">
        <v>0</v>
      </c>
      <c r="AH145">
        <v>1</v>
      </c>
      <c r="AI145" s="19">
        <v>135</v>
      </c>
      <c r="AJ145">
        <v>1</v>
      </c>
      <c r="AK145" s="19">
        <v>68</v>
      </c>
      <c r="AL145">
        <v>1</v>
      </c>
      <c r="AM145" s="19">
        <v>135</v>
      </c>
      <c r="AN145">
        <v>1</v>
      </c>
      <c r="AO145" s="19">
        <v>145</v>
      </c>
      <c r="AP145">
        <v>1</v>
      </c>
      <c r="AQ145" s="19">
        <v>241</v>
      </c>
    </row>
    <row r="146" spans="1:43" x14ac:dyDescent="0.35">
      <c r="A146" s="18">
        <v>45434</v>
      </c>
      <c r="B146" t="s">
        <v>57</v>
      </c>
      <c r="C146" t="s">
        <v>53</v>
      </c>
      <c r="D146">
        <v>8</v>
      </c>
      <c r="E146">
        <v>3</v>
      </c>
      <c r="F146">
        <v>5</v>
      </c>
      <c r="G146" s="19">
        <v>4187</v>
      </c>
      <c r="H146" s="19">
        <v>3221</v>
      </c>
      <c r="I146" s="19">
        <v>966</v>
      </c>
      <c r="J146" s="19">
        <v>248</v>
      </c>
      <c r="K146" s="19">
        <v>103</v>
      </c>
      <c r="L146" s="19">
        <v>806</v>
      </c>
      <c r="M146" s="19">
        <v>92</v>
      </c>
      <c r="N146" s="19">
        <v>65</v>
      </c>
      <c r="O146" s="19">
        <f t="shared" si="4"/>
        <v>1314</v>
      </c>
      <c r="P146" s="19">
        <f t="shared" si="5"/>
        <v>2873</v>
      </c>
      <c r="Q146" t="s">
        <v>23</v>
      </c>
      <c r="R146" t="s">
        <v>64</v>
      </c>
      <c r="T146">
        <v>1</v>
      </c>
      <c r="U146" s="19">
        <v>1417</v>
      </c>
      <c r="V146">
        <v>0</v>
      </c>
      <c r="W146" s="19">
        <v>0</v>
      </c>
      <c r="X146">
        <v>0</v>
      </c>
      <c r="Y146" s="19">
        <v>0</v>
      </c>
      <c r="Z146">
        <v>1</v>
      </c>
      <c r="AA146" s="19">
        <v>1031</v>
      </c>
      <c r="AB146">
        <v>1</v>
      </c>
      <c r="AC146" s="19">
        <v>773</v>
      </c>
      <c r="AD146">
        <v>0</v>
      </c>
      <c r="AE146" s="19">
        <v>0</v>
      </c>
      <c r="AF146">
        <v>0</v>
      </c>
      <c r="AG146" s="19">
        <v>0</v>
      </c>
      <c r="AH146">
        <v>1</v>
      </c>
      <c r="AI146" s="19">
        <v>180</v>
      </c>
      <c r="AJ146">
        <v>1</v>
      </c>
      <c r="AK146" s="19">
        <v>90</v>
      </c>
      <c r="AL146">
        <v>1</v>
      </c>
      <c r="AM146" s="19">
        <v>180</v>
      </c>
      <c r="AN146">
        <v>1</v>
      </c>
      <c r="AO146" s="19">
        <v>193</v>
      </c>
      <c r="AP146">
        <v>1</v>
      </c>
      <c r="AQ146" s="19">
        <v>322</v>
      </c>
    </row>
    <row r="147" spans="1:43" x14ac:dyDescent="0.35">
      <c r="A147" s="18">
        <v>45435</v>
      </c>
      <c r="B147" t="s">
        <v>58</v>
      </c>
      <c r="C147" t="s">
        <v>53</v>
      </c>
      <c r="D147">
        <v>8</v>
      </c>
      <c r="E147">
        <v>3</v>
      </c>
      <c r="F147">
        <v>5</v>
      </c>
      <c r="G147" s="19">
        <v>4348</v>
      </c>
      <c r="H147" s="19">
        <v>3089</v>
      </c>
      <c r="I147" s="19">
        <v>1259</v>
      </c>
      <c r="J147" s="19">
        <v>248</v>
      </c>
      <c r="K147" s="19">
        <v>103</v>
      </c>
      <c r="L147" s="19">
        <v>806</v>
      </c>
      <c r="M147" s="19">
        <v>96</v>
      </c>
      <c r="N147" s="19">
        <v>65</v>
      </c>
      <c r="O147" s="19">
        <f t="shared" si="4"/>
        <v>1318</v>
      </c>
      <c r="P147" s="19">
        <f t="shared" si="5"/>
        <v>3030</v>
      </c>
      <c r="Q147" t="s">
        <v>23</v>
      </c>
      <c r="R147" t="s">
        <v>64</v>
      </c>
      <c r="T147">
        <v>1</v>
      </c>
      <c r="U147" s="19">
        <v>1847</v>
      </c>
      <c r="V147">
        <v>0</v>
      </c>
      <c r="W147" s="19">
        <v>0</v>
      </c>
      <c r="X147">
        <v>0</v>
      </c>
      <c r="Y147" s="19">
        <v>0</v>
      </c>
      <c r="Z147">
        <v>0</v>
      </c>
      <c r="AA147" s="19">
        <v>0</v>
      </c>
      <c r="AB147">
        <v>1</v>
      </c>
      <c r="AC147" s="19">
        <v>1007</v>
      </c>
      <c r="AD147">
        <v>0</v>
      </c>
      <c r="AE147" s="19">
        <v>0</v>
      </c>
      <c r="AF147">
        <v>0</v>
      </c>
      <c r="AG147" s="19">
        <v>0</v>
      </c>
      <c r="AH147">
        <v>2</v>
      </c>
      <c r="AI147" s="19">
        <v>470</v>
      </c>
      <c r="AJ147">
        <v>1</v>
      </c>
      <c r="AK147" s="19">
        <v>118</v>
      </c>
      <c r="AL147">
        <v>1</v>
      </c>
      <c r="AM147" s="19">
        <v>235</v>
      </c>
      <c r="AN147">
        <v>1</v>
      </c>
      <c r="AO147" s="19">
        <v>252</v>
      </c>
      <c r="AP147">
        <v>1</v>
      </c>
      <c r="AQ147" s="19">
        <v>420</v>
      </c>
    </row>
    <row r="148" spans="1:43" x14ac:dyDescent="0.35">
      <c r="A148" s="18">
        <v>45436</v>
      </c>
      <c r="B148" t="s">
        <v>59</v>
      </c>
      <c r="C148" t="s">
        <v>53</v>
      </c>
      <c r="D148">
        <v>9</v>
      </c>
      <c r="E148">
        <v>4</v>
      </c>
      <c r="F148">
        <v>5</v>
      </c>
      <c r="G148" s="19">
        <v>4520</v>
      </c>
      <c r="H148" s="19">
        <v>3520</v>
      </c>
      <c r="I148" s="19">
        <v>1000</v>
      </c>
      <c r="J148" s="19">
        <v>248</v>
      </c>
      <c r="K148" s="19">
        <v>103</v>
      </c>
      <c r="L148" s="19">
        <v>806</v>
      </c>
      <c r="M148" s="19">
        <v>100</v>
      </c>
      <c r="N148" s="19">
        <v>73</v>
      </c>
      <c r="O148" s="19">
        <f t="shared" si="4"/>
        <v>1330</v>
      </c>
      <c r="P148" s="19">
        <f t="shared" si="5"/>
        <v>3190</v>
      </c>
      <c r="Q148" t="s">
        <v>23</v>
      </c>
      <c r="R148" t="s">
        <v>64</v>
      </c>
      <c r="T148">
        <v>1</v>
      </c>
      <c r="U148" s="19">
        <v>1467</v>
      </c>
      <c r="V148">
        <v>0</v>
      </c>
      <c r="W148" s="19">
        <v>0</v>
      </c>
      <c r="X148">
        <v>0</v>
      </c>
      <c r="Y148" s="19">
        <v>0</v>
      </c>
      <c r="Z148">
        <v>1</v>
      </c>
      <c r="AA148" s="19">
        <v>1067</v>
      </c>
      <c r="AB148">
        <v>1</v>
      </c>
      <c r="AC148" s="19">
        <v>800</v>
      </c>
      <c r="AD148">
        <v>0</v>
      </c>
      <c r="AE148" s="19">
        <v>0</v>
      </c>
      <c r="AF148">
        <v>0</v>
      </c>
      <c r="AG148" s="19">
        <v>0</v>
      </c>
      <c r="AH148">
        <v>2</v>
      </c>
      <c r="AI148" s="19">
        <v>373</v>
      </c>
      <c r="AJ148">
        <v>1</v>
      </c>
      <c r="AK148" s="19">
        <v>93</v>
      </c>
      <c r="AL148">
        <v>1</v>
      </c>
      <c r="AM148" s="19">
        <v>187</v>
      </c>
      <c r="AN148">
        <v>1</v>
      </c>
      <c r="AO148" s="19">
        <v>200</v>
      </c>
      <c r="AP148">
        <v>1</v>
      </c>
      <c r="AQ148" s="19">
        <v>333</v>
      </c>
    </row>
    <row r="149" spans="1:43" x14ac:dyDescent="0.35">
      <c r="A149" s="18">
        <v>45437</v>
      </c>
      <c r="B149" t="s">
        <v>60</v>
      </c>
      <c r="C149" t="s">
        <v>61</v>
      </c>
      <c r="D149">
        <v>10</v>
      </c>
      <c r="E149">
        <v>4</v>
      </c>
      <c r="F149">
        <v>6</v>
      </c>
      <c r="G149" s="19">
        <v>5371</v>
      </c>
      <c r="H149" s="19">
        <v>3230</v>
      </c>
      <c r="I149" s="19">
        <v>2141</v>
      </c>
      <c r="J149" s="19">
        <v>248</v>
      </c>
      <c r="K149" s="19">
        <v>103</v>
      </c>
      <c r="L149" s="19">
        <v>806</v>
      </c>
      <c r="M149" s="19">
        <v>118</v>
      </c>
      <c r="N149" s="19">
        <v>81</v>
      </c>
      <c r="O149" s="19">
        <f t="shared" si="4"/>
        <v>1356</v>
      </c>
      <c r="P149" s="19">
        <f t="shared" si="5"/>
        <v>4015</v>
      </c>
      <c r="Q149" t="s">
        <v>23</v>
      </c>
      <c r="R149" t="s">
        <v>64</v>
      </c>
      <c r="T149">
        <v>1</v>
      </c>
      <c r="U149" s="19">
        <v>1346</v>
      </c>
      <c r="V149">
        <v>0</v>
      </c>
      <c r="W149" s="19">
        <v>0</v>
      </c>
      <c r="X149">
        <v>0</v>
      </c>
      <c r="Y149" s="19">
        <v>0</v>
      </c>
      <c r="Z149">
        <v>1</v>
      </c>
      <c r="AA149" s="19">
        <v>979</v>
      </c>
      <c r="AB149">
        <v>1</v>
      </c>
      <c r="AC149" s="19">
        <v>734</v>
      </c>
      <c r="AD149">
        <v>1</v>
      </c>
      <c r="AE149" s="19">
        <v>1223</v>
      </c>
      <c r="AF149">
        <v>0</v>
      </c>
      <c r="AG149" s="19">
        <v>0</v>
      </c>
      <c r="AH149">
        <v>2</v>
      </c>
      <c r="AI149" s="19">
        <v>343</v>
      </c>
      <c r="AJ149">
        <v>1</v>
      </c>
      <c r="AK149" s="19">
        <v>86</v>
      </c>
      <c r="AL149">
        <v>1</v>
      </c>
      <c r="AM149" s="19">
        <v>171</v>
      </c>
      <c r="AN149">
        <v>1</v>
      </c>
      <c r="AO149" s="19">
        <v>184</v>
      </c>
      <c r="AP149">
        <v>1</v>
      </c>
      <c r="AQ149" s="19">
        <v>306</v>
      </c>
    </row>
    <row r="150" spans="1:43" x14ac:dyDescent="0.35">
      <c r="A150" s="18">
        <v>45438</v>
      </c>
      <c r="B150" t="s">
        <v>62</v>
      </c>
      <c r="C150" t="s">
        <v>61</v>
      </c>
      <c r="D150">
        <v>9</v>
      </c>
      <c r="E150">
        <v>4</v>
      </c>
      <c r="F150">
        <v>5</v>
      </c>
      <c r="G150" s="19">
        <v>4809</v>
      </c>
      <c r="H150" s="19">
        <v>3745</v>
      </c>
      <c r="I150" s="19">
        <v>1064</v>
      </c>
      <c r="J150" s="19">
        <v>248</v>
      </c>
      <c r="K150" s="19">
        <v>103</v>
      </c>
      <c r="L150" s="19">
        <v>806</v>
      </c>
      <c r="M150" s="19">
        <v>106</v>
      </c>
      <c r="N150" s="19">
        <v>73</v>
      </c>
      <c r="O150" s="19">
        <f t="shared" si="4"/>
        <v>1336</v>
      </c>
      <c r="P150" s="19">
        <f t="shared" si="5"/>
        <v>3473</v>
      </c>
      <c r="Q150" t="s">
        <v>23</v>
      </c>
      <c r="R150" t="s">
        <v>64</v>
      </c>
      <c r="T150">
        <v>1</v>
      </c>
      <c r="U150" s="19">
        <v>1560</v>
      </c>
      <c r="V150">
        <v>0</v>
      </c>
      <c r="W150" s="19">
        <v>0</v>
      </c>
      <c r="X150">
        <v>0</v>
      </c>
      <c r="Y150" s="19">
        <v>0</v>
      </c>
      <c r="Z150">
        <v>1</v>
      </c>
      <c r="AA150" s="19">
        <v>1135</v>
      </c>
      <c r="AB150">
        <v>1</v>
      </c>
      <c r="AC150" s="19">
        <v>851</v>
      </c>
      <c r="AD150">
        <v>0</v>
      </c>
      <c r="AE150" s="19">
        <v>0</v>
      </c>
      <c r="AF150">
        <v>0</v>
      </c>
      <c r="AG150" s="19">
        <v>0</v>
      </c>
      <c r="AH150">
        <v>2</v>
      </c>
      <c r="AI150" s="19">
        <v>397</v>
      </c>
      <c r="AJ150">
        <v>1</v>
      </c>
      <c r="AK150" s="19">
        <v>99</v>
      </c>
      <c r="AL150">
        <v>1</v>
      </c>
      <c r="AM150" s="19">
        <v>199</v>
      </c>
      <c r="AN150">
        <v>1</v>
      </c>
      <c r="AO150" s="19">
        <v>213</v>
      </c>
      <c r="AP150">
        <v>1</v>
      </c>
      <c r="AQ150" s="19">
        <v>355</v>
      </c>
    </row>
    <row r="151" spans="1:43" x14ac:dyDescent="0.35">
      <c r="A151" s="18">
        <v>45439</v>
      </c>
      <c r="B151" t="s">
        <v>52</v>
      </c>
      <c r="C151" t="s">
        <v>53</v>
      </c>
      <c r="D151">
        <v>7</v>
      </c>
      <c r="E151">
        <v>2</v>
      </c>
      <c r="F151">
        <v>5</v>
      </c>
      <c r="G151" s="19">
        <v>3853</v>
      </c>
      <c r="H151" s="19">
        <v>2674</v>
      </c>
      <c r="I151" s="19">
        <v>1179</v>
      </c>
      <c r="J151" s="19">
        <v>248</v>
      </c>
      <c r="K151" s="19">
        <v>103</v>
      </c>
      <c r="L151" s="19">
        <v>806</v>
      </c>
      <c r="M151" s="19">
        <v>85</v>
      </c>
      <c r="N151" s="19">
        <v>57</v>
      </c>
      <c r="O151" s="19">
        <f t="shared" si="4"/>
        <v>1299</v>
      </c>
      <c r="P151" s="19">
        <f t="shared" si="5"/>
        <v>2554</v>
      </c>
      <c r="Q151" t="s">
        <v>23</v>
      </c>
      <c r="R151" t="s">
        <v>64</v>
      </c>
      <c r="T151">
        <v>1</v>
      </c>
      <c r="U151" s="19">
        <v>1730</v>
      </c>
      <c r="V151">
        <v>0</v>
      </c>
      <c r="W151" s="19">
        <v>0</v>
      </c>
      <c r="X151">
        <v>0</v>
      </c>
      <c r="Y151" s="19">
        <v>0</v>
      </c>
      <c r="Z151">
        <v>0</v>
      </c>
      <c r="AA151" s="19">
        <v>0</v>
      </c>
      <c r="AB151">
        <v>1</v>
      </c>
      <c r="AC151" s="19">
        <v>944</v>
      </c>
      <c r="AD151">
        <v>0</v>
      </c>
      <c r="AE151" s="19">
        <v>0</v>
      </c>
      <c r="AF151">
        <v>0</v>
      </c>
      <c r="AG151" s="19">
        <v>0</v>
      </c>
      <c r="AH151">
        <v>1</v>
      </c>
      <c r="AI151" s="19">
        <v>220</v>
      </c>
      <c r="AJ151">
        <v>1</v>
      </c>
      <c r="AK151" s="19">
        <v>110</v>
      </c>
      <c r="AL151">
        <v>1</v>
      </c>
      <c r="AM151" s="19">
        <v>220</v>
      </c>
      <c r="AN151">
        <v>1</v>
      </c>
      <c r="AO151" s="19">
        <v>236</v>
      </c>
      <c r="AP151">
        <v>1</v>
      </c>
      <c r="AQ151" s="19">
        <v>393</v>
      </c>
    </row>
    <row r="152" spans="1:43" x14ac:dyDescent="0.35">
      <c r="A152" s="18">
        <v>45440</v>
      </c>
      <c r="B152" t="s">
        <v>56</v>
      </c>
      <c r="C152" t="s">
        <v>53</v>
      </c>
      <c r="D152">
        <v>8</v>
      </c>
      <c r="E152">
        <v>2</v>
      </c>
      <c r="F152">
        <v>6</v>
      </c>
      <c r="G152" s="19">
        <v>4150</v>
      </c>
      <c r="H152" s="19">
        <v>2045</v>
      </c>
      <c r="I152" s="19">
        <v>2105</v>
      </c>
      <c r="J152" s="19">
        <v>248</v>
      </c>
      <c r="K152" s="19">
        <v>103</v>
      </c>
      <c r="L152" s="19">
        <v>806</v>
      </c>
      <c r="M152" s="19">
        <v>92</v>
      </c>
      <c r="N152" s="19">
        <v>65</v>
      </c>
      <c r="O152" s="19">
        <f t="shared" si="4"/>
        <v>1314</v>
      </c>
      <c r="P152" s="19">
        <f t="shared" si="5"/>
        <v>2836</v>
      </c>
      <c r="Q152" t="s">
        <v>23</v>
      </c>
      <c r="R152" t="s">
        <v>64</v>
      </c>
      <c r="T152">
        <v>1</v>
      </c>
      <c r="U152" s="19">
        <v>1323</v>
      </c>
      <c r="V152">
        <v>0</v>
      </c>
      <c r="W152" s="19">
        <v>0</v>
      </c>
      <c r="X152">
        <v>0</v>
      </c>
      <c r="Y152" s="19">
        <v>0</v>
      </c>
      <c r="Z152">
        <v>0</v>
      </c>
      <c r="AA152" s="19">
        <v>0</v>
      </c>
      <c r="AB152">
        <v>1</v>
      </c>
      <c r="AC152" s="19">
        <v>722</v>
      </c>
      <c r="AD152">
        <v>1</v>
      </c>
      <c r="AE152" s="19">
        <v>1203</v>
      </c>
      <c r="AF152">
        <v>0</v>
      </c>
      <c r="AG152" s="19">
        <v>0</v>
      </c>
      <c r="AH152">
        <v>1</v>
      </c>
      <c r="AI152" s="19">
        <v>168</v>
      </c>
      <c r="AJ152">
        <v>1</v>
      </c>
      <c r="AK152" s="19">
        <v>84</v>
      </c>
      <c r="AL152">
        <v>1</v>
      </c>
      <c r="AM152" s="19">
        <v>168</v>
      </c>
      <c r="AN152">
        <v>1</v>
      </c>
      <c r="AO152" s="19">
        <v>180</v>
      </c>
      <c r="AP152">
        <v>1</v>
      </c>
      <c r="AQ152" s="19">
        <v>301</v>
      </c>
    </row>
    <row r="153" spans="1:43" x14ac:dyDescent="0.35">
      <c r="A153" s="18">
        <v>45441</v>
      </c>
      <c r="B153" t="s">
        <v>57</v>
      </c>
      <c r="C153" t="s">
        <v>53</v>
      </c>
      <c r="D153">
        <v>8</v>
      </c>
      <c r="E153">
        <v>3</v>
      </c>
      <c r="F153">
        <v>5</v>
      </c>
      <c r="G153" s="19">
        <v>4005</v>
      </c>
      <c r="H153" s="19">
        <v>3081</v>
      </c>
      <c r="I153" s="19">
        <v>924</v>
      </c>
      <c r="J153" s="19">
        <v>248</v>
      </c>
      <c r="K153" s="19">
        <v>103</v>
      </c>
      <c r="L153" s="19">
        <v>806</v>
      </c>
      <c r="M153" s="19">
        <v>88</v>
      </c>
      <c r="N153" s="19">
        <v>65</v>
      </c>
      <c r="O153" s="19">
        <f t="shared" si="4"/>
        <v>1310</v>
      </c>
      <c r="P153" s="19">
        <f t="shared" si="5"/>
        <v>2695</v>
      </c>
      <c r="Q153" t="s">
        <v>23</v>
      </c>
      <c r="R153" t="s">
        <v>64</v>
      </c>
      <c r="T153">
        <v>1</v>
      </c>
      <c r="U153" s="19">
        <v>1356</v>
      </c>
      <c r="V153">
        <v>0</v>
      </c>
      <c r="W153" s="19">
        <v>0</v>
      </c>
      <c r="X153">
        <v>0</v>
      </c>
      <c r="Y153" s="19">
        <v>0</v>
      </c>
      <c r="Z153">
        <v>1</v>
      </c>
      <c r="AA153" s="19">
        <v>986</v>
      </c>
      <c r="AB153">
        <v>1</v>
      </c>
      <c r="AC153" s="19">
        <v>739</v>
      </c>
      <c r="AD153">
        <v>0</v>
      </c>
      <c r="AE153" s="19">
        <v>0</v>
      </c>
      <c r="AF153">
        <v>0</v>
      </c>
      <c r="AG153" s="19">
        <v>0</v>
      </c>
      <c r="AH153">
        <v>1</v>
      </c>
      <c r="AI153" s="19">
        <v>173</v>
      </c>
      <c r="AJ153">
        <v>1</v>
      </c>
      <c r="AK153" s="19">
        <v>86</v>
      </c>
      <c r="AL153">
        <v>1</v>
      </c>
      <c r="AM153" s="19">
        <v>173</v>
      </c>
      <c r="AN153">
        <v>1</v>
      </c>
      <c r="AO153" s="19">
        <v>185</v>
      </c>
      <c r="AP153">
        <v>1</v>
      </c>
      <c r="AQ153" s="19">
        <v>308</v>
      </c>
    </row>
    <row r="154" spans="1:43" x14ac:dyDescent="0.35">
      <c r="A154" s="18">
        <v>45442</v>
      </c>
      <c r="B154" t="s">
        <v>58</v>
      </c>
      <c r="C154" t="s">
        <v>53</v>
      </c>
      <c r="D154">
        <v>8</v>
      </c>
      <c r="E154">
        <v>3</v>
      </c>
      <c r="F154">
        <v>5</v>
      </c>
      <c r="G154" s="19">
        <v>4091</v>
      </c>
      <c r="H154" s="19">
        <v>3147</v>
      </c>
      <c r="I154" s="19">
        <v>944</v>
      </c>
      <c r="J154" s="19">
        <v>248</v>
      </c>
      <c r="K154" s="19">
        <v>103</v>
      </c>
      <c r="L154" s="19">
        <v>806</v>
      </c>
      <c r="M154" s="19">
        <v>90</v>
      </c>
      <c r="N154" s="19">
        <v>65</v>
      </c>
      <c r="O154" s="19">
        <f t="shared" si="4"/>
        <v>1312</v>
      </c>
      <c r="P154" s="19">
        <f t="shared" si="5"/>
        <v>2779</v>
      </c>
      <c r="Q154" t="s">
        <v>23</v>
      </c>
      <c r="R154" t="s">
        <v>64</v>
      </c>
      <c r="T154">
        <v>1</v>
      </c>
      <c r="U154" s="19">
        <v>1385</v>
      </c>
      <c r="V154">
        <v>0</v>
      </c>
      <c r="W154" s="19">
        <v>0</v>
      </c>
      <c r="X154">
        <v>0</v>
      </c>
      <c r="Y154" s="19">
        <v>0</v>
      </c>
      <c r="Z154">
        <v>1</v>
      </c>
      <c r="AA154" s="19">
        <v>1007</v>
      </c>
      <c r="AB154">
        <v>1</v>
      </c>
      <c r="AC154" s="19">
        <v>755</v>
      </c>
      <c r="AD154">
        <v>0</v>
      </c>
      <c r="AE154" s="19">
        <v>0</v>
      </c>
      <c r="AF154">
        <v>0</v>
      </c>
      <c r="AG154" s="19">
        <v>0</v>
      </c>
      <c r="AH154">
        <v>1</v>
      </c>
      <c r="AI154" s="19">
        <v>176</v>
      </c>
      <c r="AJ154">
        <v>1</v>
      </c>
      <c r="AK154" s="19">
        <v>88</v>
      </c>
      <c r="AL154">
        <v>1</v>
      </c>
      <c r="AM154" s="19">
        <v>176</v>
      </c>
      <c r="AN154">
        <v>1</v>
      </c>
      <c r="AO154" s="19">
        <v>189</v>
      </c>
      <c r="AP154">
        <v>1</v>
      </c>
      <c r="AQ154" s="19">
        <v>315</v>
      </c>
    </row>
    <row r="155" spans="1:43" x14ac:dyDescent="0.35">
      <c r="A155" s="18">
        <v>45443</v>
      </c>
      <c r="B155" t="s">
        <v>59</v>
      </c>
      <c r="C155" t="s">
        <v>53</v>
      </c>
      <c r="D155">
        <v>9</v>
      </c>
      <c r="E155">
        <v>3</v>
      </c>
      <c r="F155">
        <v>6</v>
      </c>
      <c r="G155" s="19">
        <v>4681</v>
      </c>
      <c r="H155" s="19">
        <v>2399</v>
      </c>
      <c r="I155" s="19">
        <v>2282</v>
      </c>
      <c r="J155" s="19">
        <v>248</v>
      </c>
      <c r="K155" s="19">
        <v>103</v>
      </c>
      <c r="L155" s="19">
        <v>806</v>
      </c>
      <c r="M155" s="19">
        <v>103</v>
      </c>
      <c r="N155" s="19">
        <v>73</v>
      </c>
      <c r="O155" s="19">
        <f t="shared" si="4"/>
        <v>1333</v>
      </c>
      <c r="P155" s="19">
        <f t="shared" si="5"/>
        <v>3348</v>
      </c>
      <c r="Q155" t="s">
        <v>23</v>
      </c>
      <c r="R155" t="s">
        <v>64</v>
      </c>
      <c r="T155">
        <v>1</v>
      </c>
      <c r="U155" s="19">
        <v>1434</v>
      </c>
      <c r="V155">
        <v>0</v>
      </c>
      <c r="W155" s="19">
        <v>0</v>
      </c>
      <c r="X155">
        <v>0</v>
      </c>
      <c r="Y155" s="19">
        <v>0</v>
      </c>
      <c r="Z155">
        <v>0</v>
      </c>
      <c r="AA155" s="19">
        <v>0</v>
      </c>
      <c r="AB155">
        <v>1</v>
      </c>
      <c r="AC155" s="19">
        <v>782</v>
      </c>
      <c r="AD155">
        <v>1</v>
      </c>
      <c r="AE155" s="19">
        <v>1304</v>
      </c>
      <c r="AF155">
        <v>0</v>
      </c>
      <c r="AG155" s="19">
        <v>0</v>
      </c>
      <c r="AH155">
        <v>2</v>
      </c>
      <c r="AI155" s="19">
        <v>365</v>
      </c>
      <c r="AJ155">
        <v>1</v>
      </c>
      <c r="AK155" s="19">
        <v>91</v>
      </c>
      <c r="AL155">
        <v>1</v>
      </c>
      <c r="AM155" s="19">
        <v>183</v>
      </c>
      <c r="AN155">
        <v>1</v>
      </c>
      <c r="AO155" s="19">
        <v>196</v>
      </c>
      <c r="AP155">
        <v>1</v>
      </c>
      <c r="AQ155" s="19">
        <v>326</v>
      </c>
    </row>
    <row r="156" spans="1:43" x14ac:dyDescent="0.35">
      <c r="A156" s="18">
        <v>45444</v>
      </c>
      <c r="B156" t="s">
        <v>60</v>
      </c>
      <c r="C156" t="s">
        <v>61</v>
      </c>
      <c r="D156">
        <v>8</v>
      </c>
      <c r="E156">
        <v>3</v>
      </c>
      <c r="F156">
        <v>5</v>
      </c>
      <c r="G156" s="19">
        <v>4473</v>
      </c>
      <c r="H156" s="19">
        <v>3178</v>
      </c>
      <c r="I156" s="19">
        <v>1295</v>
      </c>
      <c r="J156" s="19">
        <v>250</v>
      </c>
      <c r="K156" s="19">
        <v>100</v>
      </c>
      <c r="L156" s="19">
        <v>833</v>
      </c>
      <c r="M156" s="19">
        <v>99</v>
      </c>
      <c r="N156" s="19">
        <v>65</v>
      </c>
      <c r="O156" s="19">
        <f t="shared" si="4"/>
        <v>1347</v>
      </c>
      <c r="P156" s="19">
        <f t="shared" si="5"/>
        <v>3126</v>
      </c>
      <c r="Q156" t="s">
        <v>23</v>
      </c>
      <c r="R156" t="s">
        <v>65</v>
      </c>
      <c r="T156">
        <v>1</v>
      </c>
      <c r="U156" s="19">
        <v>1900</v>
      </c>
      <c r="V156">
        <v>0</v>
      </c>
      <c r="W156" s="19">
        <v>0</v>
      </c>
      <c r="X156">
        <v>0</v>
      </c>
      <c r="Y156" s="19">
        <v>0</v>
      </c>
      <c r="Z156">
        <v>0</v>
      </c>
      <c r="AA156" s="19">
        <v>0</v>
      </c>
      <c r="AB156">
        <v>1</v>
      </c>
      <c r="AC156" s="19">
        <v>1036</v>
      </c>
      <c r="AD156">
        <v>0</v>
      </c>
      <c r="AE156" s="19">
        <v>0</v>
      </c>
      <c r="AF156">
        <v>0</v>
      </c>
      <c r="AG156" s="19">
        <v>0</v>
      </c>
      <c r="AH156">
        <v>2</v>
      </c>
      <c r="AI156" s="19">
        <v>484</v>
      </c>
      <c r="AJ156">
        <v>1</v>
      </c>
      <c r="AK156" s="19">
        <v>121</v>
      </c>
      <c r="AL156">
        <v>1</v>
      </c>
      <c r="AM156" s="19">
        <v>242</v>
      </c>
      <c r="AN156">
        <v>1</v>
      </c>
      <c r="AO156" s="19">
        <v>259</v>
      </c>
      <c r="AP156">
        <v>1</v>
      </c>
      <c r="AQ156" s="19">
        <v>432</v>
      </c>
    </row>
    <row r="157" spans="1:43" x14ac:dyDescent="0.35">
      <c r="A157" s="18">
        <v>45445</v>
      </c>
      <c r="B157" t="s">
        <v>62</v>
      </c>
      <c r="C157" t="s">
        <v>61</v>
      </c>
      <c r="D157">
        <v>7</v>
      </c>
      <c r="E157">
        <v>2</v>
      </c>
      <c r="F157">
        <v>5</v>
      </c>
      <c r="G157" s="19">
        <v>3653</v>
      </c>
      <c r="H157" s="19">
        <v>2535</v>
      </c>
      <c r="I157" s="19">
        <v>1118</v>
      </c>
      <c r="J157" s="19">
        <v>250</v>
      </c>
      <c r="K157" s="19">
        <v>100</v>
      </c>
      <c r="L157" s="19">
        <v>833</v>
      </c>
      <c r="M157" s="19">
        <v>81</v>
      </c>
      <c r="N157" s="19">
        <v>57</v>
      </c>
      <c r="O157" s="19">
        <f t="shared" si="4"/>
        <v>1321</v>
      </c>
      <c r="P157" s="19">
        <f t="shared" si="5"/>
        <v>2332</v>
      </c>
      <c r="Q157" t="s">
        <v>23</v>
      </c>
      <c r="R157" t="s">
        <v>65</v>
      </c>
      <c r="T157">
        <v>1</v>
      </c>
      <c r="U157" s="19">
        <v>1640</v>
      </c>
      <c r="V157">
        <v>0</v>
      </c>
      <c r="W157" s="19">
        <v>0</v>
      </c>
      <c r="X157">
        <v>0</v>
      </c>
      <c r="Y157" s="19">
        <v>0</v>
      </c>
      <c r="Z157">
        <v>0</v>
      </c>
      <c r="AA157" s="19">
        <v>0</v>
      </c>
      <c r="AB157">
        <v>1</v>
      </c>
      <c r="AC157" s="19">
        <v>895</v>
      </c>
      <c r="AD157">
        <v>0</v>
      </c>
      <c r="AE157" s="19">
        <v>0</v>
      </c>
      <c r="AF157">
        <v>0</v>
      </c>
      <c r="AG157" s="19">
        <v>0</v>
      </c>
      <c r="AH157">
        <v>1</v>
      </c>
      <c r="AI157" s="19">
        <v>209</v>
      </c>
      <c r="AJ157">
        <v>1</v>
      </c>
      <c r="AK157" s="19">
        <v>104</v>
      </c>
      <c r="AL157">
        <v>1</v>
      </c>
      <c r="AM157" s="19">
        <v>209</v>
      </c>
      <c r="AN157">
        <v>1</v>
      </c>
      <c r="AO157" s="19">
        <v>224</v>
      </c>
      <c r="AP157">
        <v>1</v>
      </c>
      <c r="AQ157" s="19">
        <v>373</v>
      </c>
    </row>
    <row r="158" spans="1:43" x14ac:dyDescent="0.35">
      <c r="A158" s="18">
        <v>45446</v>
      </c>
      <c r="B158" t="s">
        <v>52</v>
      </c>
      <c r="C158" t="s">
        <v>53</v>
      </c>
      <c r="D158">
        <v>5</v>
      </c>
      <c r="E158">
        <v>1</v>
      </c>
      <c r="F158">
        <v>4</v>
      </c>
      <c r="G158" s="19">
        <v>2953</v>
      </c>
      <c r="H158" s="19">
        <v>2030</v>
      </c>
      <c r="I158" s="19">
        <v>923</v>
      </c>
      <c r="J158" s="19">
        <v>250</v>
      </c>
      <c r="K158" s="19">
        <v>100</v>
      </c>
      <c r="L158" s="19">
        <v>833</v>
      </c>
      <c r="M158" s="19">
        <v>65</v>
      </c>
      <c r="N158" s="19">
        <v>40</v>
      </c>
      <c r="O158" s="19">
        <f t="shared" si="4"/>
        <v>1288</v>
      </c>
      <c r="P158" s="19">
        <f t="shared" si="5"/>
        <v>1665</v>
      </c>
      <c r="Q158" t="s">
        <v>23</v>
      </c>
      <c r="R158" t="s">
        <v>65</v>
      </c>
      <c r="T158">
        <v>1</v>
      </c>
      <c r="U158" s="19">
        <v>2030</v>
      </c>
      <c r="V158">
        <v>0</v>
      </c>
      <c r="W158" s="19">
        <v>0</v>
      </c>
      <c r="X158">
        <v>0</v>
      </c>
      <c r="Y158" s="19">
        <v>0</v>
      </c>
      <c r="Z158">
        <v>0</v>
      </c>
      <c r="AA158" s="19">
        <v>0</v>
      </c>
      <c r="AB158">
        <v>0</v>
      </c>
      <c r="AC158" s="19">
        <v>0</v>
      </c>
      <c r="AD158">
        <v>0</v>
      </c>
      <c r="AE158" s="19">
        <v>0</v>
      </c>
      <c r="AF158">
        <v>0</v>
      </c>
      <c r="AG158" s="19">
        <v>0</v>
      </c>
      <c r="AH158">
        <v>1</v>
      </c>
      <c r="AI158" s="19">
        <v>258</v>
      </c>
      <c r="AJ158">
        <v>1</v>
      </c>
      <c r="AK158" s="19">
        <v>129</v>
      </c>
      <c r="AL158">
        <v>1</v>
      </c>
      <c r="AM158" s="19">
        <v>258</v>
      </c>
      <c r="AN158">
        <v>1</v>
      </c>
      <c r="AO158" s="19">
        <v>277</v>
      </c>
      <c r="AP158">
        <v>0</v>
      </c>
      <c r="AQ158" s="19">
        <v>0</v>
      </c>
    </row>
    <row r="159" spans="1:43" x14ac:dyDescent="0.35">
      <c r="A159" s="18">
        <v>45447</v>
      </c>
      <c r="B159" t="s">
        <v>56</v>
      </c>
      <c r="C159" t="s">
        <v>53</v>
      </c>
      <c r="D159">
        <v>6</v>
      </c>
      <c r="E159">
        <v>1</v>
      </c>
      <c r="F159">
        <v>5</v>
      </c>
      <c r="G159" s="19">
        <v>3290</v>
      </c>
      <c r="H159" s="19">
        <v>1462</v>
      </c>
      <c r="I159" s="19">
        <v>1828</v>
      </c>
      <c r="J159" s="19">
        <v>250</v>
      </c>
      <c r="K159" s="19">
        <v>100</v>
      </c>
      <c r="L159" s="19">
        <v>833</v>
      </c>
      <c r="M159" s="19">
        <v>73</v>
      </c>
      <c r="N159" s="19">
        <v>49</v>
      </c>
      <c r="O159" s="19">
        <f t="shared" si="4"/>
        <v>1305</v>
      </c>
      <c r="P159" s="19">
        <f t="shared" si="5"/>
        <v>1985</v>
      </c>
      <c r="Q159" t="s">
        <v>27</v>
      </c>
      <c r="R159" t="s">
        <v>65</v>
      </c>
      <c r="T159">
        <v>0</v>
      </c>
      <c r="U159" s="19">
        <v>0</v>
      </c>
      <c r="V159">
        <v>0</v>
      </c>
      <c r="W159" s="19">
        <v>0</v>
      </c>
      <c r="X159">
        <v>0</v>
      </c>
      <c r="Y159" s="19">
        <v>0</v>
      </c>
      <c r="Z159">
        <v>0</v>
      </c>
      <c r="AA159" s="19">
        <v>0</v>
      </c>
      <c r="AB159">
        <v>1</v>
      </c>
      <c r="AC159" s="19">
        <v>1462</v>
      </c>
      <c r="AD159">
        <v>0</v>
      </c>
      <c r="AE159" s="19">
        <v>0</v>
      </c>
      <c r="AF159">
        <v>0</v>
      </c>
      <c r="AG159" s="19">
        <v>0</v>
      </c>
      <c r="AH159">
        <v>1</v>
      </c>
      <c r="AI159" s="19">
        <v>341</v>
      </c>
      <c r="AJ159">
        <v>1</v>
      </c>
      <c r="AK159" s="19">
        <v>171</v>
      </c>
      <c r="AL159">
        <v>1</v>
      </c>
      <c r="AM159" s="19">
        <v>341</v>
      </c>
      <c r="AN159">
        <v>1</v>
      </c>
      <c r="AO159" s="19">
        <v>366</v>
      </c>
      <c r="AP159">
        <v>1</v>
      </c>
      <c r="AQ159" s="19">
        <v>609</v>
      </c>
    </row>
    <row r="160" spans="1:43" x14ac:dyDescent="0.35">
      <c r="A160" s="18">
        <v>45448</v>
      </c>
      <c r="B160" t="s">
        <v>57</v>
      </c>
      <c r="C160" t="s">
        <v>53</v>
      </c>
      <c r="D160">
        <v>6</v>
      </c>
      <c r="E160">
        <v>2</v>
      </c>
      <c r="F160">
        <v>4</v>
      </c>
      <c r="G160" s="19">
        <v>3342</v>
      </c>
      <c r="H160" s="19">
        <v>2582</v>
      </c>
      <c r="I160" s="19">
        <v>760</v>
      </c>
      <c r="J160" s="19">
        <v>250</v>
      </c>
      <c r="K160" s="19">
        <v>100</v>
      </c>
      <c r="L160" s="19">
        <v>833</v>
      </c>
      <c r="M160" s="19">
        <v>74</v>
      </c>
      <c r="N160" s="19">
        <v>49</v>
      </c>
      <c r="O160" s="19">
        <f t="shared" si="4"/>
        <v>1306</v>
      </c>
      <c r="P160" s="19">
        <f t="shared" si="5"/>
        <v>2036</v>
      </c>
      <c r="Q160" t="s">
        <v>23</v>
      </c>
      <c r="R160" t="s">
        <v>65</v>
      </c>
      <c r="T160">
        <v>1</v>
      </c>
      <c r="U160" s="19">
        <v>1671</v>
      </c>
      <c r="V160">
        <v>0</v>
      </c>
      <c r="W160" s="19">
        <v>0</v>
      </c>
      <c r="X160">
        <v>0</v>
      </c>
      <c r="Y160" s="19">
        <v>0</v>
      </c>
      <c r="Z160">
        <v>0</v>
      </c>
      <c r="AA160" s="19">
        <v>0</v>
      </c>
      <c r="AB160">
        <v>1</v>
      </c>
      <c r="AC160" s="19">
        <v>911</v>
      </c>
      <c r="AD160">
        <v>0</v>
      </c>
      <c r="AE160" s="19">
        <v>0</v>
      </c>
      <c r="AF160">
        <v>0</v>
      </c>
      <c r="AG160" s="19">
        <v>0</v>
      </c>
      <c r="AH160">
        <v>1</v>
      </c>
      <c r="AI160" s="19">
        <v>213</v>
      </c>
      <c r="AJ160">
        <v>1</v>
      </c>
      <c r="AK160" s="19">
        <v>106</v>
      </c>
      <c r="AL160">
        <v>1</v>
      </c>
      <c r="AM160" s="19">
        <v>213</v>
      </c>
      <c r="AN160">
        <v>1</v>
      </c>
      <c r="AO160" s="19">
        <v>228</v>
      </c>
      <c r="AP160">
        <v>0</v>
      </c>
      <c r="AQ160" s="19">
        <v>0</v>
      </c>
    </row>
    <row r="161" spans="1:43" x14ac:dyDescent="0.35">
      <c r="A161" s="18">
        <v>45449</v>
      </c>
      <c r="B161" t="s">
        <v>58</v>
      </c>
      <c r="C161" t="s">
        <v>53</v>
      </c>
      <c r="D161">
        <v>6</v>
      </c>
      <c r="E161">
        <v>2</v>
      </c>
      <c r="F161">
        <v>4</v>
      </c>
      <c r="G161" s="19">
        <v>3095</v>
      </c>
      <c r="H161" s="19">
        <v>2392</v>
      </c>
      <c r="I161" s="19">
        <v>703</v>
      </c>
      <c r="J161" s="19">
        <v>250</v>
      </c>
      <c r="K161" s="19">
        <v>100</v>
      </c>
      <c r="L161" s="19">
        <v>833</v>
      </c>
      <c r="M161" s="19">
        <v>68</v>
      </c>
      <c r="N161" s="19">
        <v>49</v>
      </c>
      <c r="O161" s="19">
        <f t="shared" si="4"/>
        <v>1300</v>
      </c>
      <c r="P161" s="19">
        <f t="shared" si="5"/>
        <v>1795</v>
      </c>
      <c r="Q161" t="s">
        <v>23</v>
      </c>
      <c r="R161" t="s">
        <v>65</v>
      </c>
      <c r="T161">
        <v>1</v>
      </c>
      <c r="U161" s="19">
        <v>1548</v>
      </c>
      <c r="V161">
        <v>0</v>
      </c>
      <c r="W161" s="19">
        <v>0</v>
      </c>
      <c r="X161">
        <v>0</v>
      </c>
      <c r="Y161" s="19">
        <v>0</v>
      </c>
      <c r="Z161">
        <v>0</v>
      </c>
      <c r="AA161" s="19">
        <v>0</v>
      </c>
      <c r="AB161">
        <v>1</v>
      </c>
      <c r="AC161" s="19">
        <v>844</v>
      </c>
      <c r="AD161">
        <v>0</v>
      </c>
      <c r="AE161" s="19">
        <v>0</v>
      </c>
      <c r="AF161">
        <v>0</v>
      </c>
      <c r="AG161" s="19">
        <v>0</v>
      </c>
      <c r="AH161">
        <v>1</v>
      </c>
      <c r="AI161" s="19">
        <v>197</v>
      </c>
      <c r="AJ161">
        <v>1</v>
      </c>
      <c r="AK161" s="19">
        <v>98</v>
      </c>
      <c r="AL161">
        <v>1</v>
      </c>
      <c r="AM161" s="19">
        <v>197</v>
      </c>
      <c r="AN161">
        <v>1</v>
      </c>
      <c r="AO161" s="19">
        <v>211</v>
      </c>
      <c r="AP161">
        <v>0</v>
      </c>
      <c r="AQ161" s="19">
        <v>0</v>
      </c>
    </row>
    <row r="162" spans="1:43" x14ac:dyDescent="0.35">
      <c r="A162" s="18">
        <v>45450</v>
      </c>
      <c r="B162" t="s">
        <v>59</v>
      </c>
      <c r="C162" t="s">
        <v>53</v>
      </c>
      <c r="D162">
        <v>7</v>
      </c>
      <c r="E162">
        <v>3</v>
      </c>
      <c r="F162">
        <v>4</v>
      </c>
      <c r="G162" s="19">
        <v>3630</v>
      </c>
      <c r="H162" s="19">
        <v>3025</v>
      </c>
      <c r="I162" s="19">
        <v>605</v>
      </c>
      <c r="J162" s="19">
        <v>250</v>
      </c>
      <c r="K162" s="19">
        <v>100</v>
      </c>
      <c r="L162" s="19">
        <v>833</v>
      </c>
      <c r="M162" s="19">
        <v>80</v>
      </c>
      <c r="N162" s="19">
        <v>57</v>
      </c>
      <c r="O162" s="19">
        <f t="shared" si="4"/>
        <v>1320</v>
      </c>
      <c r="P162" s="19">
        <f t="shared" si="5"/>
        <v>2310</v>
      </c>
      <c r="Q162" t="s">
        <v>23</v>
      </c>
      <c r="R162" t="s">
        <v>65</v>
      </c>
      <c r="T162">
        <v>1</v>
      </c>
      <c r="U162" s="19">
        <v>1331</v>
      </c>
      <c r="V162">
        <v>0</v>
      </c>
      <c r="W162" s="19">
        <v>0</v>
      </c>
      <c r="X162">
        <v>0</v>
      </c>
      <c r="Y162" s="19">
        <v>0</v>
      </c>
      <c r="Z162">
        <v>1</v>
      </c>
      <c r="AA162" s="19">
        <v>968</v>
      </c>
      <c r="AB162">
        <v>1</v>
      </c>
      <c r="AC162" s="19">
        <v>726</v>
      </c>
      <c r="AD162">
        <v>0</v>
      </c>
      <c r="AE162" s="19">
        <v>0</v>
      </c>
      <c r="AF162">
        <v>0</v>
      </c>
      <c r="AG162" s="19">
        <v>0</v>
      </c>
      <c r="AH162">
        <v>1</v>
      </c>
      <c r="AI162" s="19">
        <v>169</v>
      </c>
      <c r="AJ162">
        <v>1</v>
      </c>
      <c r="AK162" s="19">
        <v>85</v>
      </c>
      <c r="AL162">
        <v>1</v>
      </c>
      <c r="AM162" s="19">
        <v>169</v>
      </c>
      <c r="AN162">
        <v>1</v>
      </c>
      <c r="AO162" s="19">
        <v>182</v>
      </c>
      <c r="AP162">
        <v>0</v>
      </c>
      <c r="AQ162" s="19">
        <v>0</v>
      </c>
    </row>
    <row r="163" spans="1:43" x14ac:dyDescent="0.35">
      <c r="A163" s="18">
        <v>45451</v>
      </c>
      <c r="B163" t="s">
        <v>60</v>
      </c>
      <c r="C163" t="s">
        <v>61</v>
      </c>
      <c r="D163">
        <v>8</v>
      </c>
      <c r="E163">
        <v>3</v>
      </c>
      <c r="F163">
        <v>5</v>
      </c>
      <c r="G163" s="19">
        <v>4227</v>
      </c>
      <c r="H163" s="19">
        <v>3003</v>
      </c>
      <c r="I163" s="19">
        <v>1224</v>
      </c>
      <c r="J163" s="19">
        <v>250</v>
      </c>
      <c r="K163" s="19">
        <v>100</v>
      </c>
      <c r="L163" s="19">
        <v>833</v>
      </c>
      <c r="M163" s="19">
        <v>93</v>
      </c>
      <c r="N163" s="19">
        <v>65</v>
      </c>
      <c r="O163" s="19">
        <f t="shared" si="4"/>
        <v>1341</v>
      </c>
      <c r="P163" s="19">
        <f t="shared" si="5"/>
        <v>2886</v>
      </c>
      <c r="Q163" t="s">
        <v>23</v>
      </c>
      <c r="R163" t="s">
        <v>65</v>
      </c>
      <c r="T163">
        <v>1</v>
      </c>
      <c r="U163" s="19">
        <v>1795</v>
      </c>
      <c r="V163">
        <v>0</v>
      </c>
      <c r="W163" s="19">
        <v>0</v>
      </c>
      <c r="X163">
        <v>0</v>
      </c>
      <c r="Y163" s="19">
        <v>0</v>
      </c>
      <c r="Z163">
        <v>0</v>
      </c>
      <c r="AA163" s="19">
        <v>0</v>
      </c>
      <c r="AB163">
        <v>1</v>
      </c>
      <c r="AC163" s="19">
        <v>979</v>
      </c>
      <c r="AD163">
        <v>0</v>
      </c>
      <c r="AE163" s="19">
        <v>0</v>
      </c>
      <c r="AF163">
        <v>0</v>
      </c>
      <c r="AG163" s="19">
        <v>0</v>
      </c>
      <c r="AH163">
        <v>2</v>
      </c>
      <c r="AI163" s="19">
        <v>457</v>
      </c>
      <c r="AJ163">
        <v>1</v>
      </c>
      <c r="AK163" s="19">
        <v>114</v>
      </c>
      <c r="AL163">
        <v>1</v>
      </c>
      <c r="AM163" s="19">
        <v>228</v>
      </c>
      <c r="AN163">
        <v>1</v>
      </c>
      <c r="AO163" s="19">
        <v>245</v>
      </c>
      <c r="AP163">
        <v>1</v>
      </c>
      <c r="AQ163" s="19">
        <v>408</v>
      </c>
    </row>
    <row r="164" spans="1:43" x14ac:dyDescent="0.35">
      <c r="A164" s="18">
        <v>45452</v>
      </c>
      <c r="B164" t="s">
        <v>62</v>
      </c>
      <c r="C164" t="s">
        <v>61</v>
      </c>
      <c r="D164">
        <v>7</v>
      </c>
      <c r="E164">
        <v>2</v>
      </c>
      <c r="F164">
        <v>5</v>
      </c>
      <c r="G164" s="19">
        <v>3836</v>
      </c>
      <c r="H164" s="19">
        <v>2662</v>
      </c>
      <c r="I164" s="19">
        <v>1174</v>
      </c>
      <c r="J164" s="19">
        <v>250</v>
      </c>
      <c r="K164" s="19">
        <v>100</v>
      </c>
      <c r="L164" s="19">
        <v>833</v>
      </c>
      <c r="M164" s="19">
        <v>85</v>
      </c>
      <c r="N164" s="19">
        <v>57</v>
      </c>
      <c r="O164" s="19">
        <f t="shared" si="4"/>
        <v>1325</v>
      </c>
      <c r="P164" s="19">
        <f t="shared" si="5"/>
        <v>2511</v>
      </c>
      <c r="Q164" t="s">
        <v>23</v>
      </c>
      <c r="R164" t="s">
        <v>65</v>
      </c>
      <c r="T164">
        <v>1</v>
      </c>
      <c r="U164" s="19">
        <v>1722</v>
      </c>
      <c r="V164">
        <v>0</v>
      </c>
      <c r="W164" s="19">
        <v>0</v>
      </c>
      <c r="X164">
        <v>0</v>
      </c>
      <c r="Y164" s="19">
        <v>0</v>
      </c>
      <c r="Z164">
        <v>0</v>
      </c>
      <c r="AA164" s="19">
        <v>0</v>
      </c>
      <c r="AB164">
        <v>1</v>
      </c>
      <c r="AC164" s="19">
        <v>939</v>
      </c>
      <c r="AD164">
        <v>0</v>
      </c>
      <c r="AE164" s="19">
        <v>0</v>
      </c>
      <c r="AF164">
        <v>0</v>
      </c>
      <c r="AG164" s="19">
        <v>0</v>
      </c>
      <c r="AH164">
        <v>1</v>
      </c>
      <c r="AI164" s="19">
        <v>219</v>
      </c>
      <c r="AJ164">
        <v>1</v>
      </c>
      <c r="AK164" s="19">
        <v>110</v>
      </c>
      <c r="AL164">
        <v>1</v>
      </c>
      <c r="AM164" s="19">
        <v>219</v>
      </c>
      <c r="AN164">
        <v>1</v>
      </c>
      <c r="AO164" s="19">
        <v>235</v>
      </c>
      <c r="AP164">
        <v>1</v>
      </c>
      <c r="AQ164" s="19">
        <v>391</v>
      </c>
    </row>
    <row r="165" spans="1:43" x14ac:dyDescent="0.35">
      <c r="A165" s="18">
        <v>45453</v>
      </c>
      <c r="B165" t="s">
        <v>52</v>
      </c>
      <c r="C165" t="s">
        <v>53</v>
      </c>
      <c r="D165">
        <v>6</v>
      </c>
      <c r="E165">
        <v>2</v>
      </c>
      <c r="F165">
        <v>4</v>
      </c>
      <c r="G165" s="19">
        <v>3204</v>
      </c>
      <c r="H165" s="19">
        <v>2476</v>
      </c>
      <c r="I165" s="19">
        <v>728</v>
      </c>
      <c r="J165" s="19">
        <v>250</v>
      </c>
      <c r="K165" s="19">
        <v>100</v>
      </c>
      <c r="L165" s="19">
        <v>833</v>
      </c>
      <c r="M165" s="19">
        <v>71</v>
      </c>
      <c r="N165" s="19">
        <v>49</v>
      </c>
      <c r="O165" s="19">
        <f t="shared" si="4"/>
        <v>1303</v>
      </c>
      <c r="P165" s="19">
        <f t="shared" si="5"/>
        <v>1901</v>
      </c>
      <c r="Q165" t="s">
        <v>23</v>
      </c>
      <c r="R165" t="s">
        <v>65</v>
      </c>
      <c r="T165">
        <v>1</v>
      </c>
      <c r="U165" s="19">
        <v>1602</v>
      </c>
      <c r="V165">
        <v>0</v>
      </c>
      <c r="W165" s="19">
        <v>0</v>
      </c>
      <c r="X165">
        <v>0</v>
      </c>
      <c r="Y165" s="19">
        <v>0</v>
      </c>
      <c r="Z165">
        <v>0</v>
      </c>
      <c r="AA165" s="19">
        <v>0</v>
      </c>
      <c r="AB165">
        <v>1</v>
      </c>
      <c r="AC165" s="19">
        <v>874</v>
      </c>
      <c r="AD165">
        <v>0</v>
      </c>
      <c r="AE165" s="19">
        <v>0</v>
      </c>
      <c r="AF165">
        <v>0</v>
      </c>
      <c r="AG165" s="19">
        <v>0</v>
      </c>
      <c r="AH165">
        <v>1</v>
      </c>
      <c r="AI165" s="19">
        <v>204</v>
      </c>
      <c r="AJ165">
        <v>1</v>
      </c>
      <c r="AK165" s="19">
        <v>102</v>
      </c>
      <c r="AL165">
        <v>1</v>
      </c>
      <c r="AM165" s="19">
        <v>204</v>
      </c>
      <c r="AN165">
        <v>1</v>
      </c>
      <c r="AO165" s="19">
        <v>218</v>
      </c>
      <c r="AP165">
        <v>0</v>
      </c>
      <c r="AQ165" s="19">
        <v>0</v>
      </c>
    </row>
    <row r="166" spans="1:43" x14ac:dyDescent="0.35">
      <c r="A166" s="18">
        <v>45454</v>
      </c>
      <c r="B166" t="s">
        <v>56</v>
      </c>
      <c r="C166" t="s">
        <v>53</v>
      </c>
      <c r="D166">
        <v>6</v>
      </c>
      <c r="E166">
        <v>2</v>
      </c>
      <c r="F166">
        <v>4</v>
      </c>
      <c r="G166" s="19">
        <v>3301</v>
      </c>
      <c r="H166" s="19">
        <v>2551</v>
      </c>
      <c r="I166" s="19">
        <v>750</v>
      </c>
      <c r="J166" s="19">
        <v>250</v>
      </c>
      <c r="K166" s="19">
        <v>100</v>
      </c>
      <c r="L166" s="19">
        <v>833</v>
      </c>
      <c r="M166" s="19">
        <v>73</v>
      </c>
      <c r="N166" s="19">
        <v>49</v>
      </c>
      <c r="O166" s="19">
        <f t="shared" si="4"/>
        <v>1305</v>
      </c>
      <c r="P166" s="19">
        <f t="shared" si="5"/>
        <v>1996</v>
      </c>
      <c r="Q166" t="s">
        <v>23</v>
      </c>
      <c r="R166" t="s">
        <v>65</v>
      </c>
      <c r="T166">
        <v>1</v>
      </c>
      <c r="U166" s="19">
        <v>1650</v>
      </c>
      <c r="V166">
        <v>0</v>
      </c>
      <c r="W166" s="19">
        <v>0</v>
      </c>
      <c r="X166">
        <v>0</v>
      </c>
      <c r="Y166" s="19">
        <v>0</v>
      </c>
      <c r="Z166">
        <v>0</v>
      </c>
      <c r="AA166" s="19">
        <v>0</v>
      </c>
      <c r="AB166">
        <v>1</v>
      </c>
      <c r="AC166" s="19">
        <v>900</v>
      </c>
      <c r="AD166">
        <v>0</v>
      </c>
      <c r="AE166" s="19">
        <v>0</v>
      </c>
      <c r="AF166">
        <v>0</v>
      </c>
      <c r="AG166" s="19">
        <v>0</v>
      </c>
      <c r="AH166">
        <v>1</v>
      </c>
      <c r="AI166" s="19">
        <v>210</v>
      </c>
      <c r="AJ166">
        <v>1</v>
      </c>
      <c r="AK166" s="19">
        <v>105</v>
      </c>
      <c r="AL166">
        <v>1</v>
      </c>
      <c r="AM166" s="19">
        <v>210</v>
      </c>
      <c r="AN166">
        <v>1</v>
      </c>
      <c r="AO166" s="19">
        <v>225</v>
      </c>
      <c r="AP166">
        <v>0</v>
      </c>
      <c r="AQ166" s="19">
        <v>0</v>
      </c>
    </row>
    <row r="167" spans="1:43" x14ac:dyDescent="0.35">
      <c r="A167" s="18">
        <v>45455</v>
      </c>
      <c r="B167" t="s">
        <v>57</v>
      </c>
      <c r="C167" t="s">
        <v>53</v>
      </c>
      <c r="D167">
        <v>6</v>
      </c>
      <c r="E167">
        <v>1</v>
      </c>
      <c r="F167">
        <v>5</v>
      </c>
      <c r="G167" s="19">
        <v>3050</v>
      </c>
      <c r="H167" s="19">
        <v>1814</v>
      </c>
      <c r="I167" s="19">
        <v>1236</v>
      </c>
      <c r="J167" s="19">
        <v>250</v>
      </c>
      <c r="K167" s="19">
        <v>100</v>
      </c>
      <c r="L167" s="19">
        <v>833</v>
      </c>
      <c r="M167" s="19">
        <v>67</v>
      </c>
      <c r="N167" s="19">
        <v>49</v>
      </c>
      <c r="O167" s="19">
        <f t="shared" si="4"/>
        <v>1299</v>
      </c>
      <c r="P167" s="19">
        <f t="shared" si="5"/>
        <v>1751</v>
      </c>
      <c r="Q167" t="s">
        <v>23</v>
      </c>
      <c r="R167" t="s">
        <v>65</v>
      </c>
      <c r="T167">
        <v>1</v>
      </c>
      <c r="U167" s="19">
        <v>1814</v>
      </c>
      <c r="V167">
        <v>0</v>
      </c>
      <c r="W167" s="19">
        <v>0</v>
      </c>
      <c r="X167">
        <v>0</v>
      </c>
      <c r="Y167" s="19">
        <v>0</v>
      </c>
      <c r="Z167">
        <v>0</v>
      </c>
      <c r="AA167" s="19">
        <v>0</v>
      </c>
      <c r="AB167">
        <v>0</v>
      </c>
      <c r="AC167" s="19">
        <v>0</v>
      </c>
      <c r="AD167">
        <v>0</v>
      </c>
      <c r="AE167" s="19">
        <v>0</v>
      </c>
      <c r="AF167">
        <v>0</v>
      </c>
      <c r="AG167" s="19">
        <v>0</v>
      </c>
      <c r="AH167">
        <v>1</v>
      </c>
      <c r="AI167" s="19">
        <v>231</v>
      </c>
      <c r="AJ167">
        <v>1</v>
      </c>
      <c r="AK167" s="19">
        <v>115</v>
      </c>
      <c r="AL167">
        <v>1</v>
      </c>
      <c r="AM167" s="19">
        <v>231</v>
      </c>
      <c r="AN167">
        <v>1</v>
      </c>
      <c r="AO167" s="19">
        <v>247</v>
      </c>
      <c r="AP167">
        <v>1</v>
      </c>
      <c r="AQ167" s="19">
        <v>412</v>
      </c>
    </row>
    <row r="168" spans="1:43" x14ac:dyDescent="0.35">
      <c r="A168" s="18">
        <v>45456</v>
      </c>
      <c r="B168" t="s">
        <v>58</v>
      </c>
      <c r="C168" t="s">
        <v>53</v>
      </c>
      <c r="D168">
        <v>6</v>
      </c>
      <c r="E168">
        <v>2</v>
      </c>
      <c r="F168">
        <v>4</v>
      </c>
      <c r="G168" s="19">
        <v>3291</v>
      </c>
      <c r="H168" s="19">
        <v>2543</v>
      </c>
      <c r="I168" s="19">
        <v>748</v>
      </c>
      <c r="J168" s="19">
        <v>250</v>
      </c>
      <c r="K168" s="19">
        <v>100</v>
      </c>
      <c r="L168" s="19">
        <v>833</v>
      </c>
      <c r="M168" s="19">
        <v>73</v>
      </c>
      <c r="N168" s="19">
        <v>49</v>
      </c>
      <c r="O168" s="19">
        <f t="shared" si="4"/>
        <v>1305</v>
      </c>
      <c r="P168" s="19">
        <f t="shared" si="5"/>
        <v>1986</v>
      </c>
      <c r="Q168" t="s">
        <v>23</v>
      </c>
      <c r="R168" t="s">
        <v>65</v>
      </c>
      <c r="T168">
        <v>1</v>
      </c>
      <c r="U168" s="19">
        <v>1646</v>
      </c>
      <c r="V168">
        <v>0</v>
      </c>
      <c r="W168" s="19">
        <v>0</v>
      </c>
      <c r="X168">
        <v>0</v>
      </c>
      <c r="Y168" s="19">
        <v>0</v>
      </c>
      <c r="Z168">
        <v>0</v>
      </c>
      <c r="AA168" s="19">
        <v>0</v>
      </c>
      <c r="AB168">
        <v>1</v>
      </c>
      <c r="AC168" s="19">
        <v>898</v>
      </c>
      <c r="AD168">
        <v>0</v>
      </c>
      <c r="AE168" s="19">
        <v>0</v>
      </c>
      <c r="AF168">
        <v>0</v>
      </c>
      <c r="AG168" s="19">
        <v>0</v>
      </c>
      <c r="AH168">
        <v>1</v>
      </c>
      <c r="AI168" s="19">
        <v>209</v>
      </c>
      <c r="AJ168">
        <v>1</v>
      </c>
      <c r="AK168" s="19">
        <v>105</v>
      </c>
      <c r="AL168">
        <v>1</v>
      </c>
      <c r="AM168" s="19">
        <v>209</v>
      </c>
      <c r="AN168">
        <v>1</v>
      </c>
      <c r="AO168" s="19">
        <v>224</v>
      </c>
      <c r="AP168">
        <v>0</v>
      </c>
      <c r="AQ168" s="19">
        <v>0</v>
      </c>
    </row>
    <row r="169" spans="1:43" x14ac:dyDescent="0.35">
      <c r="A169" s="18">
        <v>45457</v>
      </c>
      <c r="B169" t="s">
        <v>59</v>
      </c>
      <c r="C169" t="s">
        <v>53</v>
      </c>
      <c r="D169">
        <v>7</v>
      </c>
      <c r="E169">
        <v>2</v>
      </c>
      <c r="F169">
        <v>5</v>
      </c>
      <c r="G169" s="19">
        <v>3637</v>
      </c>
      <c r="H169" s="19">
        <v>2524</v>
      </c>
      <c r="I169" s="19">
        <v>1113</v>
      </c>
      <c r="J169" s="19">
        <v>250</v>
      </c>
      <c r="K169" s="19">
        <v>100</v>
      </c>
      <c r="L169" s="19">
        <v>833</v>
      </c>
      <c r="M169" s="19">
        <v>80</v>
      </c>
      <c r="N169" s="19">
        <v>57</v>
      </c>
      <c r="O169" s="19">
        <f t="shared" si="4"/>
        <v>1320</v>
      </c>
      <c r="P169" s="19">
        <f t="shared" si="5"/>
        <v>2317</v>
      </c>
      <c r="Q169" t="s">
        <v>23</v>
      </c>
      <c r="R169" t="s">
        <v>65</v>
      </c>
      <c r="T169">
        <v>1</v>
      </c>
      <c r="U169" s="19">
        <v>1633</v>
      </c>
      <c r="V169">
        <v>0</v>
      </c>
      <c r="W169" s="19">
        <v>0</v>
      </c>
      <c r="X169">
        <v>0</v>
      </c>
      <c r="Y169" s="19">
        <v>0</v>
      </c>
      <c r="Z169">
        <v>0</v>
      </c>
      <c r="AA169" s="19">
        <v>0</v>
      </c>
      <c r="AB169">
        <v>1</v>
      </c>
      <c r="AC169" s="19">
        <v>891</v>
      </c>
      <c r="AD169">
        <v>0</v>
      </c>
      <c r="AE169" s="19">
        <v>0</v>
      </c>
      <c r="AF169">
        <v>0</v>
      </c>
      <c r="AG169" s="19">
        <v>0</v>
      </c>
      <c r="AH169">
        <v>1</v>
      </c>
      <c r="AI169" s="19">
        <v>208</v>
      </c>
      <c r="AJ169">
        <v>1</v>
      </c>
      <c r="AK169" s="19">
        <v>104</v>
      </c>
      <c r="AL169">
        <v>1</v>
      </c>
      <c r="AM169" s="19">
        <v>208</v>
      </c>
      <c r="AN169">
        <v>1</v>
      </c>
      <c r="AO169" s="19">
        <v>223</v>
      </c>
      <c r="AP169">
        <v>1</v>
      </c>
      <c r="AQ169" s="19">
        <v>371</v>
      </c>
    </row>
    <row r="170" spans="1:43" x14ac:dyDescent="0.35">
      <c r="A170" s="18">
        <v>45458</v>
      </c>
      <c r="B170" t="s">
        <v>60</v>
      </c>
      <c r="C170" t="s">
        <v>61</v>
      </c>
      <c r="D170">
        <v>8</v>
      </c>
      <c r="E170">
        <v>3</v>
      </c>
      <c r="F170">
        <v>5</v>
      </c>
      <c r="G170" s="19">
        <v>4375</v>
      </c>
      <c r="H170" s="19">
        <v>3108</v>
      </c>
      <c r="I170" s="19">
        <v>1267</v>
      </c>
      <c r="J170" s="19">
        <v>250</v>
      </c>
      <c r="K170" s="19">
        <v>100</v>
      </c>
      <c r="L170" s="19">
        <v>833</v>
      </c>
      <c r="M170" s="19">
        <v>96</v>
      </c>
      <c r="N170" s="19">
        <v>65</v>
      </c>
      <c r="O170" s="19">
        <f t="shared" si="4"/>
        <v>1344</v>
      </c>
      <c r="P170" s="19">
        <f t="shared" si="5"/>
        <v>3031</v>
      </c>
      <c r="Q170" t="s">
        <v>23</v>
      </c>
      <c r="R170" t="s">
        <v>65</v>
      </c>
      <c r="T170">
        <v>1</v>
      </c>
      <c r="U170" s="19">
        <v>1858</v>
      </c>
      <c r="V170">
        <v>0</v>
      </c>
      <c r="W170" s="19">
        <v>0</v>
      </c>
      <c r="X170">
        <v>0</v>
      </c>
      <c r="Y170" s="19">
        <v>0</v>
      </c>
      <c r="Z170">
        <v>0</v>
      </c>
      <c r="AA170" s="19">
        <v>0</v>
      </c>
      <c r="AB170">
        <v>1</v>
      </c>
      <c r="AC170" s="19">
        <v>1014</v>
      </c>
      <c r="AD170">
        <v>0</v>
      </c>
      <c r="AE170" s="19">
        <v>0</v>
      </c>
      <c r="AF170">
        <v>0</v>
      </c>
      <c r="AG170" s="19">
        <v>0</v>
      </c>
      <c r="AH170">
        <v>2</v>
      </c>
      <c r="AI170" s="19">
        <v>473</v>
      </c>
      <c r="AJ170">
        <v>1</v>
      </c>
      <c r="AK170" s="19">
        <v>118</v>
      </c>
      <c r="AL170">
        <v>1</v>
      </c>
      <c r="AM170" s="19">
        <v>236</v>
      </c>
      <c r="AN170">
        <v>1</v>
      </c>
      <c r="AO170" s="19">
        <v>253</v>
      </c>
      <c r="AP170">
        <v>1</v>
      </c>
      <c r="AQ170" s="19">
        <v>422</v>
      </c>
    </row>
    <row r="171" spans="1:43" x14ac:dyDescent="0.35">
      <c r="A171" s="18">
        <v>45459</v>
      </c>
      <c r="B171" t="s">
        <v>62</v>
      </c>
      <c r="C171" t="s">
        <v>61</v>
      </c>
      <c r="D171">
        <v>8</v>
      </c>
      <c r="E171">
        <v>3</v>
      </c>
      <c r="F171">
        <v>5</v>
      </c>
      <c r="G171" s="19">
        <v>3992</v>
      </c>
      <c r="H171" s="19">
        <v>2836</v>
      </c>
      <c r="I171" s="19">
        <v>1156</v>
      </c>
      <c r="J171" s="19">
        <v>250</v>
      </c>
      <c r="K171" s="19">
        <v>100</v>
      </c>
      <c r="L171" s="19">
        <v>833</v>
      </c>
      <c r="M171" s="19">
        <v>88</v>
      </c>
      <c r="N171" s="19">
        <v>65</v>
      </c>
      <c r="O171" s="19">
        <f t="shared" si="4"/>
        <v>1336</v>
      </c>
      <c r="P171" s="19">
        <f t="shared" si="5"/>
        <v>2656</v>
      </c>
      <c r="Q171" t="s">
        <v>23</v>
      </c>
      <c r="R171" t="s">
        <v>65</v>
      </c>
      <c r="T171">
        <v>1</v>
      </c>
      <c r="U171" s="19">
        <v>1695</v>
      </c>
      <c r="V171">
        <v>0</v>
      </c>
      <c r="W171" s="19">
        <v>0</v>
      </c>
      <c r="X171">
        <v>0</v>
      </c>
      <c r="Y171" s="19">
        <v>0</v>
      </c>
      <c r="Z171">
        <v>0</v>
      </c>
      <c r="AA171" s="19">
        <v>0</v>
      </c>
      <c r="AB171">
        <v>1</v>
      </c>
      <c r="AC171" s="19">
        <v>925</v>
      </c>
      <c r="AD171">
        <v>0</v>
      </c>
      <c r="AE171" s="19">
        <v>0</v>
      </c>
      <c r="AF171">
        <v>0</v>
      </c>
      <c r="AG171" s="19">
        <v>0</v>
      </c>
      <c r="AH171">
        <v>2</v>
      </c>
      <c r="AI171" s="19">
        <v>432</v>
      </c>
      <c r="AJ171">
        <v>1</v>
      </c>
      <c r="AK171" s="19">
        <v>108</v>
      </c>
      <c r="AL171">
        <v>1</v>
      </c>
      <c r="AM171" s="19">
        <v>216</v>
      </c>
      <c r="AN171">
        <v>1</v>
      </c>
      <c r="AO171" s="19">
        <v>231</v>
      </c>
      <c r="AP171">
        <v>1</v>
      </c>
      <c r="AQ171" s="19">
        <v>385</v>
      </c>
    </row>
    <row r="172" spans="1:43" x14ac:dyDescent="0.35">
      <c r="A172" s="18">
        <v>45460</v>
      </c>
      <c r="B172" t="s">
        <v>52</v>
      </c>
      <c r="C172" t="s">
        <v>53</v>
      </c>
      <c r="D172">
        <v>6</v>
      </c>
      <c r="E172">
        <v>2</v>
      </c>
      <c r="F172">
        <v>4</v>
      </c>
      <c r="G172" s="19">
        <v>3185</v>
      </c>
      <c r="H172" s="19">
        <v>2461</v>
      </c>
      <c r="I172" s="19">
        <v>724</v>
      </c>
      <c r="J172" s="19">
        <v>250</v>
      </c>
      <c r="K172" s="19">
        <v>100</v>
      </c>
      <c r="L172" s="19">
        <v>833</v>
      </c>
      <c r="M172" s="19">
        <v>70</v>
      </c>
      <c r="N172" s="19">
        <v>49</v>
      </c>
      <c r="O172" s="19">
        <f t="shared" si="4"/>
        <v>1302</v>
      </c>
      <c r="P172" s="19">
        <f t="shared" si="5"/>
        <v>1883</v>
      </c>
      <c r="Q172" t="s">
        <v>23</v>
      </c>
      <c r="R172" t="s">
        <v>65</v>
      </c>
      <c r="T172">
        <v>1</v>
      </c>
      <c r="U172" s="19">
        <v>1592</v>
      </c>
      <c r="V172">
        <v>0</v>
      </c>
      <c r="W172" s="19">
        <v>0</v>
      </c>
      <c r="X172">
        <v>0</v>
      </c>
      <c r="Y172" s="19">
        <v>0</v>
      </c>
      <c r="Z172">
        <v>0</v>
      </c>
      <c r="AA172" s="19">
        <v>0</v>
      </c>
      <c r="AB172">
        <v>1</v>
      </c>
      <c r="AC172" s="19">
        <v>869</v>
      </c>
      <c r="AD172">
        <v>0</v>
      </c>
      <c r="AE172" s="19">
        <v>0</v>
      </c>
      <c r="AF172">
        <v>0</v>
      </c>
      <c r="AG172" s="19">
        <v>0</v>
      </c>
      <c r="AH172">
        <v>1</v>
      </c>
      <c r="AI172" s="19">
        <v>203</v>
      </c>
      <c r="AJ172">
        <v>1</v>
      </c>
      <c r="AK172" s="19">
        <v>101</v>
      </c>
      <c r="AL172">
        <v>1</v>
      </c>
      <c r="AM172" s="19">
        <v>203</v>
      </c>
      <c r="AN172">
        <v>1</v>
      </c>
      <c r="AO172" s="19">
        <v>217</v>
      </c>
      <c r="AP172">
        <v>0</v>
      </c>
      <c r="AQ172" s="19">
        <v>0</v>
      </c>
    </row>
    <row r="173" spans="1:43" x14ac:dyDescent="0.35">
      <c r="A173" s="18">
        <v>45461</v>
      </c>
      <c r="B173" t="s">
        <v>56</v>
      </c>
      <c r="C173" t="s">
        <v>53</v>
      </c>
      <c r="D173">
        <v>6</v>
      </c>
      <c r="E173">
        <v>2</v>
      </c>
      <c r="F173">
        <v>4</v>
      </c>
      <c r="G173" s="19">
        <v>3029</v>
      </c>
      <c r="H173" s="19">
        <v>2341</v>
      </c>
      <c r="I173" s="19">
        <v>688</v>
      </c>
      <c r="J173" s="19">
        <v>250</v>
      </c>
      <c r="K173" s="19">
        <v>100</v>
      </c>
      <c r="L173" s="19">
        <v>833</v>
      </c>
      <c r="M173" s="19">
        <v>67</v>
      </c>
      <c r="N173" s="19">
        <v>49</v>
      </c>
      <c r="O173" s="19">
        <f t="shared" si="4"/>
        <v>1299</v>
      </c>
      <c r="P173" s="19">
        <f t="shared" si="5"/>
        <v>1730</v>
      </c>
      <c r="Q173" t="s">
        <v>23</v>
      </c>
      <c r="R173" t="s">
        <v>65</v>
      </c>
      <c r="T173">
        <v>1</v>
      </c>
      <c r="U173" s="19">
        <v>1514</v>
      </c>
      <c r="V173">
        <v>0</v>
      </c>
      <c r="W173" s="19">
        <v>0</v>
      </c>
      <c r="X173">
        <v>0</v>
      </c>
      <c r="Y173" s="19">
        <v>0</v>
      </c>
      <c r="Z173">
        <v>0</v>
      </c>
      <c r="AA173" s="19">
        <v>0</v>
      </c>
      <c r="AB173">
        <v>1</v>
      </c>
      <c r="AC173" s="19">
        <v>826</v>
      </c>
      <c r="AD173">
        <v>0</v>
      </c>
      <c r="AE173" s="19">
        <v>0</v>
      </c>
      <c r="AF173">
        <v>0</v>
      </c>
      <c r="AG173" s="19">
        <v>0</v>
      </c>
      <c r="AH173">
        <v>1</v>
      </c>
      <c r="AI173" s="19">
        <v>193</v>
      </c>
      <c r="AJ173">
        <v>1</v>
      </c>
      <c r="AK173" s="19">
        <v>96</v>
      </c>
      <c r="AL173">
        <v>1</v>
      </c>
      <c r="AM173" s="19">
        <v>193</v>
      </c>
      <c r="AN173">
        <v>1</v>
      </c>
      <c r="AO173" s="19">
        <v>207</v>
      </c>
      <c r="AP173">
        <v>0</v>
      </c>
      <c r="AQ173" s="19">
        <v>0</v>
      </c>
    </row>
    <row r="174" spans="1:43" x14ac:dyDescent="0.35">
      <c r="A174" s="18">
        <v>45462</v>
      </c>
      <c r="B174" t="s">
        <v>57</v>
      </c>
      <c r="C174" t="s">
        <v>53</v>
      </c>
      <c r="D174">
        <v>6</v>
      </c>
      <c r="E174">
        <v>2</v>
      </c>
      <c r="F174">
        <v>4</v>
      </c>
      <c r="G174" s="19">
        <v>3166</v>
      </c>
      <c r="H174" s="19">
        <v>2446</v>
      </c>
      <c r="I174" s="19">
        <v>720</v>
      </c>
      <c r="J174" s="19">
        <v>250</v>
      </c>
      <c r="K174" s="19">
        <v>100</v>
      </c>
      <c r="L174" s="19">
        <v>833</v>
      </c>
      <c r="M174" s="19">
        <v>70</v>
      </c>
      <c r="N174" s="19">
        <v>49</v>
      </c>
      <c r="O174" s="19">
        <f t="shared" si="4"/>
        <v>1302</v>
      </c>
      <c r="P174" s="19">
        <f t="shared" si="5"/>
        <v>1864</v>
      </c>
      <c r="Q174" t="s">
        <v>23</v>
      </c>
      <c r="R174" t="s">
        <v>65</v>
      </c>
      <c r="T174">
        <v>1</v>
      </c>
      <c r="U174" s="19">
        <v>1583</v>
      </c>
      <c r="V174">
        <v>0</v>
      </c>
      <c r="W174" s="19">
        <v>0</v>
      </c>
      <c r="X174">
        <v>0</v>
      </c>
      <c r="Y174" s="19">
        <v>0</v>
      </c>
      <c r="Z174">
        <v>0</v>
      </c>
      <c r="AA174" s="19">
        <v>0</v>
      </c>
      <c r="AB174">
        <v>1</v>
      </c>
      <c r="AC174" s="19">
        <v>863</v>
      </c>
      <c r="AD174">
        <v>0</v>
      </c>
      <c r="AE174" s="19">
        <v>0</v>
      </c>
      <c r="AF174">
        <v>0</v>
      </c>
      <c r="AG174" s="19">
        <v>0</v>
      </c>
      <c r="AH174">
        <v>1</v>
      </c>
      <c r="AI174" s="19">
        <v>201</v>
      </c>
      <c r="AJ174">
        <v>1</v>
      </c>
      <c r="AK174" s="19">
        <v>101</v>
      </c>
      <c r="AL174">
        <v>1</v>
      </c>
      <c r="AM174" s="19">
        <v>201</v>
      </c>
      <c r="AN174">
        <v>1</v>
      </c>
      <c r="AO174" s="19">
        <v>216</v>
      </c>
      <c r="AP174">
        <v>0</v>
      </c>
      <c r="AQ174" s="19">
        <v>0</v>
      </c>
    </row>
    <row r="175" spans="1:43" x14ac:dyDescent="0.35">
      <c r="A175" s="18">
        <v>45463</v>
      </c>
      <c r="B175" t="s">
        <v>58</v>
      </c>
      <c r="C175" t="s">
        <v>53</v>
      </c>
      <c r="D175">
        <v>6</v>
      </c>
      <c r="E175">
        <v>1</v>
      </c>
      <c r="F175">
        <v>5</v>
      </c>
      <c r="G175" s="19">
        <v>3366</v>
      </c>
      <c r="H175" s="19">
        <v>2001</v>
      </c>
      <c r="I175" s="19">
        <v>1365</v>
      </c>
      <c r="J175" s="19">
        <v>250</v>
      </c>
      <c r="K175" s="19">
        <v>100</v>
      </c>
      <c r="L175" s="19">
        <v>833</v>
      </c>
      <c r="M175" s="19">
        <v>74</v>
      </c>
      <c r="N175" s="19">
        <v>49</v>
      </c>
      <c r="O175" s="19">
        <f t="shared" si="4"/>
        <v>1306</v>
      </c>
      <c r="P175" s="19">
        <f t="shared" si="5"/>
        <v>2060</v>
      </c>
      <c r="Q175" t="s">
        <v>23</v>
      </c>
      <c r="R175" t="s">
        <v>65</v>
      </c>
      <c r="T175">
        <v>1</v>
      </c>
      <c r="U175" s="19">
        <v>2001</v>
      </c>
      <c r="V175">
        <v>0</v>
      </c>
      <c r="W175" s="19">
        <v>0</v>
      </c>
      <c r="X175">
        <v>0</v>
      </c>
      <c r="Y175" s="19">
        <v>0</v>
      </c>
      <c r="Z175">
        <v>0</v>
      </c>
      <c r="AA175" s="19">
        <v>0</v>
      </c>
      <c r="AB175">
        <v>0</v>
      </c>
      <c r="AC175" s="19">
        <v>0</v>
      </c>
      <c r="AD175">
        <v>0</v>
      </c>
      <c r="AE175" s="19">
        <v>0</v>
      </c>
      <c r="AF175">
        <v>0</v>
      </c>
      <c r="AG175" s="19">
        <v>0</v>
      </c>
      <c r="AH175">
        <v>1</v>
      </c>
      <c r="AI175" s="19">
        <v>255</v>
      </c>
      <c r="AJ175">
        <v>1</v>
      </c>
      <c r="AK175" s="19">
        <v>127</v>
      </c>
      <c r="AL175">
        <v>1</v>
      </c>
      <c r="AM175" s="19">
        <v>255</v>
      </c>
      <c r="AN175">
        <v>1</v>
      </c>
      <c r="AO175" s="19">
        <v>273</v>
      </c>
      <c r="AP175">
        <v>1</v>
      </c>
      <c r="AQ175" s="19">
        <v>455</v>
      </c>
    </row>
    <row r="176" spans="1:43" x14ac:dyDescent="0.35">
      <c r="A176" s="18">
        <v>45464</v>
      </c>
      <c r="B176" t="s">
        <v>59</v>
      </c>
      <c r="C176" t="s">
        <v>53</v>
      </c>
      <c r="D176">
        <v>6</v>
      </c>
      <c r="E176">
        <v>2</v>
      </c>
      <c r="F176">
        <v>4</v>
      </c>
      <c r="G176" s="19">
        <v>3128</v>
      </c>
      <c r="H176" s="19">
        <v>2417</v>
      </c>
      <c r="I176" s="19">
        <v>711</v>
      </c>
      <c r="J176" s="19">
        <v>250</v>
      </c>
      <c r="K176" s="19">
        <v>100</v>
      </c>
      <c r="L176" s="19">
        <v>833</v>
      </c>
      <c r="M176" s="19">
        <v>69</v>
      </c>
      <c r="N176" s="19">
        <v>49</v>
      </c>
      <c r="O176" s="19">
        <f t="shared" si="4"/>
        <v>1301</v>
      </c>
      <c r="P176" s="19">
        <f t="shared" si="5"/>
        <v>1827</v>
      </c>
      <c r="Q176" t="s">
        <v>23</v>
      </c>
      <c r="R176" t="s">
        <v>65</v>
      </c>
      <c r="T176">
        <v>1</v>
      </c>
      <c r="U176" s="19">
        <v>1564</v>
      </c>
      <c r="V176">
        <v>0</v>
      </c>
      <c r="W176" s="19">
        <v>0</v>
      </c>
      <c r="X176">
        <v>0</v>
      </c>
      <c r="Y176" s="19">
        <v>0</v>
      </c>
      <c r="Z176">
        <v>0</v>
      </c>
      <c r="AA176" s="19">
        <v>0</v>
      </c>
      <c r="AB176">
        <v>1</v>
      </c>
      <c r="AC176" s="19">
        <v>853</v>
      </c>
      <c r="AD176">
        <v>0</v>
      </c>
      <c r="AE176" s="19">
        <v>0</v>
      </c>
      <c r="AF176">
        <v>0</v>
      </c>
      <c r="AG176" s="19">
        <v>0</v>
      </c>
      <c r="AH176">
        <v>1</v>
      </c>
      <c r="AI176" s="19">
        <v>199</v>
      </c>
      <c r="AJ176">
        <v>1</v>
      </c>
      <c r="AK176" s="19">
        <v>100</v>
      </c>
      <c r="AL176">
        <v>1</v>
      </c>
      <c r="AM176" s="19">
        <v>199</v>
      </c>
      <c r="AN176">
        <v>1</v>
      </c>
      <c r="AO176" s="19">
        <v>213</v>
      </c>
      <c r="AP176">
        <v>0</v>
      </c>
      <c r="AQ176" s="19">
        <v>0</v>
      </c>
    </row>
    <row r="177" spans="1:43" x14ac:dyDescent="0.35">
      <c r="A177" s="18">
        <v>45465</v>
      </c>
      <c r="B177" t="s">
        <v>60</v>
      </c>
      <c r="C177" t="s">
        <v>61</v>
      </c>
      <c r="D177">
        <v>8</v>
      </c>
      <c r="E177">
        <v>3</v>
      </c>
      <c r="F177">
        <v>5</v>
      </c>
      <c r="G177" s="19">
        <v>4241</v>
      </c>
      <c r="H177" s="19">
        <v>3262</v>
      </c>
      <c r="I177" s="19">
        <v>979</v>
      </c>
      <c r="J177" s="19">
        <v>250</v>
      </c>
      <c r="K177" s="19">
        <v>100</v>
      </c>
      <c r="L177" s="19">
        <v>833</v>
      </c>
      <c r="M177" s="19">
        <v>94</v>
      </c>
      <c r="N177" s="19">
        <v>65</v>
      </c>
      <c r="O177" s="19">
        <f t="shared" si="4"/>
        <v>1342</v>
      </c>
      <c r="P177" s="19">
        <f t="shared" si="5"/>
        <v>2899</v>
      </c>
      <c r="Q177" t="s">
        <v>23</v>
      </c>
      <c r="R177" t="s">
        <v>65</v>
      </c>
      <c r="T177">
        <v>1</v>
      </c>
      <c r="U177" s="19">
        <v>1435</v>
      </c>
      <c r="V177">
        <v>0</v>
      </c>
      <c r="W177" s="19">
        <v>0</v>
      </c>
      <c r="X177">
        <v>0</v>
      </c>
      <c r="Y177" s="19">
        <v>0</v>
      </c>
      <c r="Z177">
        <v>1</v>
      </c>
      <c r="AA177" s="19">
        <v>1044</v>
      </c>
      <c r="AB177">
        <v>1</v>
      </c>
      <c r="AC177" s="19">
        <v>783</v>
      </c>
      <c r="AD177">
        <v>0</v>
      </c>
      <c r="AE177" s="19">
        <v>0</v>
      </c>
      <c r="AF177">
        <v>0</v>
      </c>
      <c r="AG177" s="19">
        <v>0</v>
      </c>
      <c r="AH177">
        <v>1</v>
      </c>
      <c r="AI177" s="19">
        <v>183</v>
      </c>
      <c r="AJ177">
        <v>1</v>
      </c>
      <c r="AK177" s="19">
        <v>91</v>
      </c>
      <c r="AL177">
        <v>1</v>
      </c>
      <c r="AM177" s="19">
        <v>183</v>
      </c>
      <c r="AN177">
        <v>1</v>
      </c>
      <c r="AO177" s="19">
        <v>196</v>
      </c>
      <c r="AP177">
        <v>1</v>
      </c>
      <c r="AQ177" s="19">
        <v>326</v>
      </c>
    </row>
    <row r="178" spans="1:43" x14ac:dyDescent="0.35">
      <c r="A178" s="18">
        <v>45466</v>
      </c>
      <c r="B178" t="s">
        <v>62</v>
      </c>
      <c r="C178" t="s">
        <v>61</v>
      </c>
      <c r="D178">
        <v>8</v>
      </c>
      <c r="E178">
        <v>2</v>
      </c>
      <c r="F178">
        <v>6</v>
      </c>
      <c r="G178" s="19">
        <v>4131</v>
      </c>
      <c r="H178" s="19">
        <v>2036</v>
      </c>
      <c r="I178" s="19">
        <v>2095</v>
      </c>
      <c r="J178" s="19">
        <v>250</v>
      </c>
      <c r="K178" s="19">
        <v>100</v>
      </c>
      <c r="L178" s="19">
        <v>833</v>
      </c>
      <c r="M178" s="19">
        <v>91</v>
      </c>
      <c r="N178" s="19">
        <v>65</v>
      </c>
      <c r="O178" s="19">
        <f t="shared" si="4"/>
        <v>1339</v>
      </c>
      <c r="P178" s="19">
        <f t="shared" si="5"/>
        <v>2792</v>
      </c>
      <c r="Q178" t="s">
        <v>23</v>
      </c>
      <c r="R178" t="s">
        <v>65</v>
      </c>
      <c r="T178">
        <v>1</v>
      </c>
      <c r="U178" s="19">
        <v>1317</v>
      </c>
      <c r="V178">
        <v>0</v>
      </c>
      <c r="W178" s="19">
        <v>0</v>
      </c>
      <c r="X178">
        <v>0</v>
      </c>
      <c r="Y178" s="19">
        <v>0</v>
      </c>
      <c r="Z178">
        <v>0</v>
      </c>
      <c r="AA178" s="19">
        <v>0</v>
      </c>
      <c r="AB178">
        <v>1</v>
      </c>
      <c r="AC178" s="19">
        <v>718</v>
      </c>
      <c r="AD178">
        <v>1</v>
      </c>
      <c r="AE178" s="19">
        <v>1197</v>
      </c>
      <c r="AF178">
        <v>0</v>
      </c>
      <c r="AG178" s="19">
        <v>0</v>
      </c>
      <c r="AH178">
        <v>1</v>
      </c>
      <c r="AI178" s="19">
        <v>168</v>
      </c>
      <c r="AJ178">
        <v>1</v>
      </c>
      <c r="AK178" s="19">
        <v>84</v>
      </c>
      <c r="AL178">
        <v>1</v>
      </c>
      <c r="AM178" s="19">
        <v>168</v>
      </c>
      <c r="AN178">
        <v>1</v>
      </c>
      <c r="AO178" s="19">
        <v>180</v>
      </c>
      <c r="AP178">
        <v>1</v>
      </c>
      <c r="AQ178" s="19">
        <v>299</v>
      </c>
    </row>
    <row r="179" spans="1:43" x14ac:dyDescent="0.35">
      <c r="A179" s="18">
        <v>45467</v>
      </c>
      <c r="B179" t="s">
        <v>52</v>
      </c>
      <c r="C179" t="s">
        <v>53</v>
      </c>
      <c r="D179">
        <v>6</v>
      </c>
      <c r="E179">
        <v>2</v>
      </c>
      <c r="F179">
        <v>4</v>
      </c>
      <c r="G179" s="19">
        <v>3004</v>
      </c>
      <c r="H179" s="19">
        <v>2321</v>
      </c>
      <c r="I179" s="19">
        <v>683</v>
      </c>
      <c r="J179" s="19">
        <v>250</v>
      </c>
      <c r="K179" s="19">
        <v>100</v>
      </c>
      <c r="L179" s="19">
        <v>833</v>
      </c>
      <c r="M179" s="19">
        <v>66</v>
      </c>
      <c r="N179" s="19">
        <v>49</v>
      </c>
      <c r="O179" s="19">
        <f t="shared" si="4"/>
        <v>1298</v>
      </c>
      <c r="P179" s="19">
        <f t="shared" si="5"/>
        <v>1706</v>
      </c>
      <c r="Q179" t="s">
        <v>23</v>
      </c>
      <c r="R179" t="s">
        <v>65</v>
      </c>
      <c r="T179">
        <v>1</v>
      </c>
      <c r="U179" s="19">
        <v>1502</v>
      </c>
      <c r="V179">
        <v>0</v>
      </c>
      <c r="W179" s="19">
        <v>0</v>
      </c>
      <c r="X179">
        <v>0</v>
      </c>
      <c r="Y179" s="19">
        <v>0</v>
      </c>
      <c r="Z179">
        <v>0</v>
      </c>
      <c r="AA179" s="19">
        <v>0</v>
      </c>
      <c r="AB179">
        <v>1</v>
      </c>
      <c r="AC179" s="19">
        <v>819</v>
      </c>
      <c r="AD179">
        <v>0</v>
      </c>
      <c r="AE179" s="19">
        <v>0</v>
      </c>
      <c r="AF179">
        <v>0</v>
      </c>
      <c r="AG179" s="19">
        <v>0</v>
      </c>
      <c r="AH179">
        <v>1</v>
      </c>
      <c r="AI179" s="19">
        <v>191</v>
      </c>
      <c r="AJ179">
        <v>1</v>
      </c>
      <c r="AK179" s="19">
        <v>96</v>
      </c>
      <c r="AL179">
        <v>1</v>
      </c>
      <c r="AM179" s="19">
        <v>191</v>
      </c>
      <c r="AN179">
        <v>1</v>
      </c>
      <c r="AO179" s="19">
        <v>205</v>
      </c>
      <c r="AP179">
        <v>0</v>
      </c>
      <c r="AQ179" s="19">
        <v>0</v>
      </c>
    </row>
    <row r="180" spans="1:43" x14ac:dyDescent="0.35">
      <c r="A180" s="18">
        <v>45468</v>
      </c>
      <c r="B180" t="s">
        <v>56</v>
      </c>
      <c r="C180" t="s">
        <v>53</v>
      </c>
      <c r="D180">
        <v>6</v>
      </c>
      <c r="E180">
        <v>2</v>
      </c>
      <c r="F180">
        <v>4</v>
      </c>
      <c r="G180" s="19">
        <v>3308</v>
      </c>
      <c r="H180" s="19">
        <v>2556</v>
      </c>
      <c r="I180" s="19">
        <v>752</v>
      </c>
      <c r="J180" s="19">
        <v>250</v>
      </c>
      <c r="K180" s="19">
        <v>100</v>
      </c>
      <c r="L180" s="19">
        <v>833</v>
      </c>
      <c r="M180" s="19">
        <v>73</v>
      </c>
      <c r="N180" s="19">
        <v>49</v>
      </c>
      <c r="O180" s="19">
        <f t="shared" si="4"/>
        <v>1305</v>
      </c>
      <c r="P180" s="19">
        <f t="shared" si="5"/>
        <v>2003</v>
      </c>
      <c r="Q180" t="s">
        <v>23</v>
      </c>
      <c r="R180" t="s">
        <v>65</v>
      </c>
      <c r="T180">
        <v>1</v>
      </c>
      <c r="U180" s="19">
        <v>1654</v>
      </c>
      <c r="V180">
        <v>0</v>
      </c>
      <c r="W180" s="19">
        <v>0</v>
      </c>
      <c r="X180">
        <v>0</v>
      </c>
      <c r="Y180" s="19">
        <v>0</v>
      </c>
      <c r="Z180">
        <v>0</v>
      </c>
      <c r="AA180" s="19">
        <v>0</v>
      </c>
      <c r="AB180">
        <v>1</v>
      </c>
      <c r="AC180" s="19">
        <v>902</v>
      </c>
      <c r="AD180">
        <v>0</v>
      </c>
      <c r="AE180" s="19">
        <v>0</v>
      </c>
      <c r="AF180">
        <v>0</v>
      </c>
      <c r="AG180" s="19">
        <v>0</v>
      </c>
      <c r="AH180">
        <v>1</v>
      </c>
      <c r="AI180" s="19">
        <v>211</v>
      </c>
      <c r="AJ180">
        <v>1</v>
      </c>
      <c r="AK180" s="19">
        <v>105</v>
      </c>
      <c r="AL180">
        <v>1</v>
      </c>
      <c r="AM180" s="19">
        <v>211</v>
      </c>
      <c r="AN180">
        <v>1</v>
      </c>
      <c r="AO180" s="19">
        <v>226</v>
      </c>
      <c r="AP180">
        <v>0</v>
      </c>
      <c r="AQ180" s="19">
        <v>0</v>
      </c>
    </row>
    <row r="181" spans="1:43" x14ac:dyDescent="0.35">
      <c r="A181" s="18">
        <v>45469</v>
      </c>
      <c r="B181" t="s">
        <v>57</v>
      </c>
      <c r="C181" t="s">
        <v>53</v>
      </c>
      <c r="D181">
        <v>6</v>
      </c>
      <c r="E181">
        <v>2</v>
      </c>
      <c r="F181">
        <v>4</v>
      </c>
      <c r="G181" s="19">
        <v>3340</v>
      </c>
      <c r="H181" s="19">
        <v>2581</v>
      </c>
      <c r="I181" s="19">
        <v>759</v>
      </c>
      <c r="J181" s="19">
        <v>250</v>
      </c>
      <c r="K181" s="19">
        <v>100</v>
      </c>
      <c r="L181" s="19">
        <v>833</v>
      </c>
      <c r="M181" s="19">
        <v>74</v>
      </c>
      <c r="N181" s="19">
        <v>49</v>
      </c>
      <c r="O181" s="19">
        <f t="shared" si="4"/>
        <v>1306</v>
      </c>
      <c r="P181" s="19">
        <f t="shared" si="5"/>
        <v>2034</v>
      </c>
      <c r="Q181" t="s">
        <v>23</v>
      </c>
      <c r="R181" t="s">
        <v>65</v>
      </c>
      <c r="T181">
        <v>1</v>
      </c>
      <c r="U181" s="19">
        <v>1670</v>
      </c>
      <c r="V181">
        <v>0</v>
      </c>
      <c r="W181" s="19">
        <v>0</v>
      </c>
      <c r="X181">
        <v>0</v>
      </c>
      <c r="Y181" s="19">
        <v>0</v>
      </c>
      <c r="Z181">
        <v>0</v>
      </c>
      <c r="AA181" s="19">
        <v>0</v>
      </c>
      <c r="AB181">
        <v>1</v>
      </c>
      <c r="AC181" s="19">
        <v>911</v>
      </c>
      <c r="AD181">
        <v>0</v>
      </c>
      <c r="AE181" s="19">
        <v>0</v>
      </c>
      <c r="AF181">
        <v>0</v>
      </c>
      <c r="AG181" s="19">
        <v>0</v>
      </c>
      <c r="AH181">
        <v>1</v>
      </c>
      <c r="AI181" s="19">
        <v>213</v>
      </c>
      <c r="AJ181">
        <v>1</v>
      </c>
      <c r="AK181" s="19">
        <v>106</v>
      </c>
      <c r="AL181">
        <v>1</v>
      </c>
      <c r="AM181" s="19">
        <v>213</v>
      </c>
      <c r="AN181">
        <v>1</v>
      </c>
      <c r="AO181" s="19">
        <v>228</v>
      </c>
      <c r="AP181">
        <v>0</v>
      </c>
      <c r="AQ181" s="19">
        <v>0</v>
      </c>
    </row>
    <row r="182" spans="1:43" x14ac:dyDescent="0.35">
      <c r="A182" s="18">
        <v>45470</v>
      </c>
      <c r="B182" t="s">
        <v>58</v>
      </c>
      <c r="C182" t="s">
        <v>53</v>
      </c>
      <c r="D182">
        <v>7</v>
      </c>
      <c r="E182">
        <v>2</v>
      </c>
      <c r="F182">
        <v>5</v>
      </c>
      <c r="G182" s="19">
        <v>3435</v>
      </c>
      <c r="H182" s="19">
        <v>2383</v>
      </c>
      <c r="I182" s="19">
        <v>1052</v>
      </c>
      <c r="J182" s="19">
        <v>250</v>
      </c>
      <c r="K182" s="19">
        <v>100</v>
      </c>
      <c r="L182" s="19">
        <v>833</v>
      </c>
      <c r="M182" s="19">
        <v>76</v>
      </c>
      <c r="N182" s="19">
        <v>57</v>
      </c>
      <c r="O182" s="19">
        <f t="shared" si="4"/>
        <v>1316</v>
      </c>
      <c r="P182" s="19">
        <f t="shared" si="5"/>
        <v>2119</v>
      </c>
      <c r="Q182" t="s">
        <v>23</v>
      </c>
      <c r="R182" t="s">
        <v>65</v>
      </c>
      <c r="T182">
        <v>1</v>
      </c>
      <c r="U182" s="19">
        <v>1542</v>
      </c>
      <c r="V182">
        <v>0</v>
      </c>
      <c r="W182" s="19">
        <v>0</v>
      </c>
      <c r="X182">
        <v>0</v>
      </c>
      <c r="Y182" s="19">
        <v>0</v>
      </c>
      <c r="Z182">
        <v>0</v>
      </c>
      <c r="AA182" s="19">
        <v>0</v>
      </c>
      <c r="AB182">
        <v>1</v>
      </c>
      <c r="AC182" s="19">
        <v>841</v>
      </c>
      <c r="AD182">
        <v>0</v>
      </c>
      <c r="AE182" s="19">
        <v>0</v>
      </c>
      <c r="AF182">
        <v>0</v>
      </c>
      <c r="AG182" s="19">
        <v>0</v>
      </c>
      <c r="AH182">
        <v>1</v>
      </c>
      <c r="AI182" s="19">
        <v>196</v>
      </c>
      <c r="AJ182">
        <v>1</v>
      </c>
      <c r="AK182" s="19">
        <v>98</v>
      </c>
      <c r="AL182">
        <v>1</v>
      </c>
      <c r="AM182" s="19">
        <v>196</v>
      </c>
      <c r="AN182">
        <v>1</v>
      </c>
      <c r="AO182" s="19">
        <v>210</v>
      </c>
      <c r="AP182">
        <v>1</v>
      </c>
      <c r="AQ182" s="19">
        <v>351</v>
      </c>
    </row>
    <row r="183" spans="1:43" x14ac:dyDescent="0.35">
      <c r="A183" s="18">
        <v>45471</v>
      </c>
      <c r="B183" t="s">
        <v>59</v>
      </c>
      <c r="C183" t="s">
        <v>53</v>
      </c>
      <c r="D183">
        <v>7</v>
      </c>
      <c r="E183">
        <v>2</v>
      </c>
      <c r="F183">
        <v>5</v>
      </c>
      <c r="G183" s="19">
        <v>3584</v>
      </c>
      <c r="H183" s="19">
        <v>2487</v>
      </c>
      <c r="I183" s="19">
        <v>1097</v>
      </c>
      <c r="J183" s="19">
        <v>250</v>
      </c>
      <c r="K183" s="19">
        <v>100</v>
      </c>
      <c r="L183" s="19">
        <v>833</v>
      </c>
      <c r="M183" s="19">
        <v>79</v>
      </c>
      <c r="N183" s="19">
        <v>57</v>
      </c>
      <c r="O183" s="19">
        <f t="shared" si="4"/>
        <v>1319</v>
      </c>
      <c r="P183" s="19">
        <f t="shared" si="5"/>
        <v>2265</v>
      </c>
      <c r="Q183" t="s">
        <v>23</v>
      </c>
      <c r="R183" t="s">
        <v>65</v>
      </c>
      <c r="T183">
        <v>1</v>
      </c>
      <c r="U183" s="19">
        <v>1609</v>
      </c>
      <c r="V183">
        <v>0</v>
      </c>
      <c r="W183" s="19">
        <v>0</v>
      </c>
      <c r="X183">
        <v>0</v>
      </c>
      <c r="Y183" s="19">
        <v>0</v>
      </c>
      <c r="Z183">
        <v>0</v>
      </c>
      <c r="AA183" s="19">
        <v>0</v>
      </c>
      <c r="AB183">
        <v>1</v>
      </c>
      <c r="AC183" s="19">
        <v>878</v>
      </c>
      <c r="AD183">
        <v>0</v>
      </c>
      <c r="AE183" s="19">
        <v>0</v>
      </c>
      <c r="AF183">
        <v>0</v>
      </c>
      <c r="AG183" s="19">
        <v>0</v>
      </c>
      <c r="AH183">
        <v>1</v>
      </c>
      <c r="AI183" s="19">
        <v>205</v>
      </c>
      <c r="AJ183">
        <v>1</v>
      </c>
      <c r="AK183" s="19">
        <v>102</v>
      </c>
      <c r="AL183">
        <v>1</v>
      </c>
      <c r="AM183" s="19">
        <v>205</v>
      </c>
      <c r="AN183">
        <v>1</v>
      </c>
      <c r="AO183" s="19">
        <v>219</v>
      </c>
      <c r="AP183">
        <v>1</v>
      </c>
      <c r="AQ183" s="19">
        <v>366</v>
      </c>
    </row>
    <row r="184" spans="1:43" x14ac:dyDescent="0.35">
      <c r="A184" s="18">
        <v>45472</v>
      </c>
      <c r="B184" t="s">
        <v>60</v>
      </c>
      <c r="C184" t="s">
        <v>61</v>
      </c>
      <c r="D184">
        <v>8</v>
      </c>
      <c r="E184">
        <v>3</v>
      </c>
      <c r="F184">
        <v>5</v>
      </c>
      <c r="G184" s="19">
        <v>4003</v>
      </c>
      <c r="H184" s="19">
        <v>3079</v>
      </c>
      <c r="I184" s="19">
        <v>924</v>
      </c>
      <c r="J184" s="19">
        <v>250</v>
      </c>
      <c r="K184" s="19">
        <v>100</v>
      </c>
      <c r="L184" s="19">
        <v>833</v>
      </c>
      <c r="M184" s="19">
        <v>88</v>
      </c>
      <c r="N184" s="19">
        <v>65</v>
      </c>
      <c r="O184" s="19">
        <f t="shared" si="4"/>
        <v>1336</v>
      </c>
      <c r="P184" s="19">
        <f t="shared" si="5"/>
        <v>2667</v>
      </c>
      <c r="Q184" t="s">
        <v>23</v>
      </c>
      <c r="R184" t="s">
        <v>65</v>
      </c>
      <c r="T184">
        <v>1</v>
      </c>
      <c r="U184" s="19">
        <v>1355</v>
      </c>
      <c r="V184">
        <v>0</v>
      </c>
      <c r="W184" s="19">
        <v>0</v>
      </c>
      <c r="X184">
        <v>0</v>
      </c>
      <c r="Y184" s="19">
        <v>0</v>
      </c>
      <c r="Z184">
        <v>1</v>
      </c>
      <c r="AA184" s="19">
        <v>985</v>
      </c>
      <c r="AB184">
        <v>1</v>
      </c>
      <c r="AC184" s="19">
        <v>739</v>
      </c>
      <c r="AD184">
        <v>0</v>
      </c>
      <c r="AE184" s="19">
        <v>0</v>
      </c>
      <c r="AF184">
        <v>0</v>
      </c>
      <c r="AG184" s="19">
        <v>0</v>
      </c>
      <c r="AH184">
        <v>1</v>
      </c>
      <c r="AI184" s="19">
        <v>172</v>
      </c>
      <c r="AJ184">
        <v>1</v>
      </c>
      <c r="AK184" s="19">
        <v>86</v>
      </c>
      <c r="AL184">
        <v>1</v>
      </c>
      <c r="AM184" s="19">
        <v>172</v>
      </c>
      <c r="AN184">
        <v>1</v>
      </c>
      <c r="AO184" s="19">
        <v>185</v>
      </c>
      <c r="AP184">
        <v>1</v>
      </c>
      <c r="AQ184" s="19">
        <v>308</v>
      </c>
    </row>
    <row r="185" spans="1:43" x14ac:dyDescent="0.35">
      <c r="A185" s="18">
        <v>45473</v>
      </c>
      <c r="B185" t="s">
        <v>62</v>
      </c>
      <c r="C185" t="s">
        <v>61</v>
      </c>
      <c r="D185">
        <v>8</v>
      </c>
      <c r="E185">
        <v>3</v>
      </c>
      <c r="F185">
        <v>5</v>
      </c>
      <c r="G185" s="19">
        <v>4010</v>
      </c>
      <c r="H185" s="19">
        <v>3085</v>
      </c>
      <c r="I185" s="19">
        <v>925</v>
      </c>
      <c r="J185" s="19">
        <v>250</v>
      </c>
      <c r="K185" s="19">
        <v>100</v>
      </c>
      <c r="L185" s="19">
        <v>833</v>
      </c>
      <c r="M185" s="19">
        <v>88</v>
      </c>
      <c r="N185" s="19">
        <v>65</v>
      </c>
      <c r="O185" s="19">
        <f t="shared" si="4"/>
        <v>1336</v>
      </c>
      <c r="P185" s="19">
        <f t="shared" si="5"/>
        <v>2674</v>
      </c>
      <c r="Q185" t="s">
        <v>23</v>
      </c>
      <c r="R185" t="s">
        <v>65</v>
      </c>
      <c r="T185">
        <v>1</v>
      </c>
      <c r="U185" s="19">
        <v>1357</v>
      </c>
      <c r="V185">
        <v>0</v>
      </c>
      <c r="W185" s="19">
        <v>0</v>
      </c>
      <c r="X185">
        <v>0</v>
      </c>
      <c r="Y185" s="19">
        <v>0</v>
      </c>
      <c r="Z185">
        <v>1</v>
      </c>
      <c r="AA185" s="19">
        <v>987</v>
      </c>
      <c r="AB185">
        <v>1</v>
      </c>
      <c r="AC185" s="19">
        <v>740</v>
      </c>
      <c r="AD185">
        <v>0</v>
      </c>
      <c r="AE185" s="19">
        <v>0</v>
      </c>
      <c r="AF185">
        <v>0</v>
      </c>
      <c r="AG185" s="19">
        <v>0</v>
      </c>
      <c r="AH185">
        <v>1</v>
      </c>
      <c r="AI185" s="19">
        <v>173</v>
      </c>
      <c r="AJ185">
        <v>1</v>
      </c>
      <c r="AK185" s="19">
        <v>86</v>
      </c>
      <c r="AL185">
        <v>1</v>
      </c>
      <c r="AM185" s="19">
        <v>173</v>
      </c>
      <c r="AN185">
        <v>1</v>
      </c>
      <c r="AO185" s="19">
        <v>185</v>
      </c>
      <c r="AP185">
        <v>1</v>
      </c>
      <c r="AQ185" s="19">
        <v>308</v>
      </c>
    </row>
    <row r="186" spans="1:43" x14ac:dyDescent="0.35">
      <c r="A186" s="18">
        <v>45474</v>
      </c>
      <c r="B186" t="s">
        <v>52</v>
      </c>
      <c r="C186" t="s">
        <v>53</v>
      </c>
      <c r="D186">
        <v>5</v>
      </c>
      <c r="E186">
        <v>0</v>
      </c>
      <c r="F186">
        <v>5</v>
      </c>
      <c r="G186" s="19">
        <v>2762</v>
      </c>
      <c r="H186" s="19">
        <v>0</v>
      </c>
      <c r="I186" s="19">
        <v>2762</v>
      </c>
      <c r="J186" s="19">
        <v>235</v>
      </c>
      <c r="K186" s="19">
        <v>94</v>
      </c>
      <c r="L186" s="19">
        <v>806</v>
      </c>
      <c r="M186" s="19">
        <v>61</v>
      </c>
      <c r="N186" s="19">
        <v>40</v>
      </c>
      <c r="O186" s="19">
        <f t="shared" si="4"/>
        <v>1236</v>
      </c>
      <c r="P186" s="19">
        <f t="shared" si="5"/>
        <v>1526</v>
      </c>
      <c r="Q186" t="s">
        <v>34</v>
      </c>
      <c r="R186" t="s">
        <v>65</v>
      </c>
      <c r="T186">
        <v>0</v>
      </c>
      <c r="U186" s="19">
        <v>0</v>
      </c>
      <c r="V186">
        <v>0</v>
      </c>
      <c r="W186" s="19">
        <v>0</v>
      </c>
      <c r="X186">
        <v>0</v>
      </c>
      <c r="Y186" s="19">
        <v>0</v>
      </c>
      <c r="Z186">
        <v>0</v>
      </c>
      <c r="AA186" s="19">
        <v>0</v>
      </c>
      <c r="AB186">
        <v>0</v>
      </c>
      <c r="AC186" s="19">
        <v>0</v>
      </c>
      <c r="AD186">
        <v>0</v>
      </c>
      <c r="AE186" s="19">
        <v>0</v>
      </c>
      <c r="AF186">
        <v>0</v>
      </c>
      <c r="AG186" s="19">
        <v>0</v>
      </c>
      <c r="AH186">
        <v>1</v>
      </c>
      <c r="AI186" s="19">
        <v>516</v>
      </c>
      <c r="AJ186">
        <v>1</v>
      </c>
      <c r="AK186" s="19">
        <v>258</v>
      </c>
      <c r="AL186">
        <v>1</v>
      </c>
      <c r="AM186" s="19">
        <v>516</v>
      </c>
      <c r="AN186">
        <v>1</v>
      </c>
      <c r="AO186" s="19">
        <v>552</v>
      </c>
      <c r="AP186">
        <v>1</v>
      </c>
      <c r="AQ186" s="19">
        <v>921</v>
      </c>
    </row>
    <row r="187" spans="1:43" x14ac:dyDescent="0.35">
      <c r="A187" s="18">
        <v>45475</v>
      </c>
      <c r="B187" t="s">
        <v>56</v>
      </c>
      <c r="C187" t="s">
        <v>53</v>
      </c>
      <c r="D187">
        <v>5</v>
      </c>
      <c r="E187">
        <v>1</v>
      </c>
      <c r="F187">
        <v>4</v>
      </c>
      <c r="G187" s="19">
        <v>2805</v>
      </c>
      <c r="H187" s="19">
        <v>1530</v>
      </c>
      <c r="I187" s="19">
        <v>1275</v>
      </c>
      <c r="J187" s="19">
        <v>235</v>
      </c>
      <c r="K187" s="19">
        <v>94</v>
      </c>
      <c r="L187" s="19">
        <v>806</v>
      </c>
      <c r="M187" s="19">
        <v>62</v>
      </c>
      <c r="N187" s="19">
        <v>40</v>
      </c>
      <c r="O187" s="19">
        <f t="shared" si="4"/>
        <v>1237</v>
      </c>
      <c r="P187" s="19">
        <f t="shared" si="5"/>
        <v>1568</v>
      </c>
      <c r="Q187" t="s">
        <v>27</v>
      </c>
      <c r="R187" t="s">
        <v>65</v>
      </c>
      <c r="T187">
        <v>0</v>
      </c>
      <c r="U187" s="19">
        <v>0</v>
      </c>
      <c r="V187">
        <v>0</v>
      </c>
      <c r="W187" s="19">
        <v>0</v>
      </c>
      <c r="X187">
        <v>0</v>
      </c>
      <c r="Y187" s="19">
        <v>0</v>
      </c>
      <c r="Z187">
        <v>0</v>
      </c>
      <c r="AA187" s="19">
        <v>0</v>
      </c>
      <c r="AB187">
        <v>1</v>
      </c>
      <c r="AC187" s="19">
        <v>1530</v>
      </c>
      <c r="AD187">
        <v>0</v>
      </c>
      <c r="AE187" s="19">
        <v>0</v>
      </c>
      <c r="AF187">
        <v>0</v>
      </c>
      <c r="AG187" s="19">
        <v>0</v>
      </c>
      <c r="AH187">
        <v>1</v>
      </c>
      <c r="AI187" s="19">
        <v>357</v>
      </c>
      <c r="AJ187">
        <v>1</v>
      </c>
      <c r="AK187" s="19">
        <v>178</v>
      </c>
      <c r="AL187">
        <v>1</v>
      </c>
      <c r="AM187" s="19">
        <v>357</v>
      </c>
      <c r="AN187">
        <v>1</v>
      </c>
      <c r="AO187" s="19">
        <v>382</v>
      </c>
      <c r="AP187">
        <v>0</v>
      </c>
      <c r="AQ187" s="19">
        <v>0</v>
      </c>
    </row>
    <row r="188" spans="1:43" x14ac:dyDescent="0.35">
      <c r="A188" s="18">
        <v>45476</v>
      </c>
      <c r="B188" t="s">
        <v>57</v>
      </c>
      <c r="C188" t="s">
        <v>53</v>
      </c>
      <c r="D188">
        <v>5</v>
      </c>
      <c r="E188">
        <v>1</v>
      </c>
      <c r="F188">
        <v>4</v>
      </c>
      <c r="G188" s="19">
        <v>2890</v>
      </c>
      <c r="H188" s="19">
        <v>1576</v>
      </c>
      <c r="I188" s="19">
        <v>1314</v>
      </c>
      <c r="J188" s="19">
        <v>235</v>
      </c>
      <c r="K188" s="19">
        <v>94</v>
      </c>
      <c r="L188" s="19">
        <v>806</v>
      </c>
      <c r="M188" s="19">
        <v>64</v>
      </c>
      <c r="N188" s="19">
        <v>40</v>
      </c>
      <c r="O188" s="19">
        <f t="shared" si="4"/>
        <v>1239</v>
      </c>
      <c r="P188" s="19">
        <f t="shared" si="5"/>
        <v>1651</v>
      </c>
      <c r="Q188" t="s">
        <v>27</v>
      </c>
      <c r="R188" t="s">
        <v>65</v>
      </c>
      <c r="T188">
        <v>0</v>
      </c>
      <c r="U188" s="19">
        <v>0</v>
      </c>
      <c r="V188">
        <v>0</v>
      </c>
      <c r="W188" s="19">
        <v>0</v>
      </c>
      <c r="X188">
        <v>0</v>
      </c>
      <c r="Y188" s="19">
        <v>0</v>
      </c>
      <c r="Z188">
        <v>0</v>
      </c>
      <c r="AA188" s="19">
        <v>0</v>
      </c>
      <c r="AB188">
        <v>1</v>
      </c>
      <c r="AC188" s="19">
        <v>1576</v>
      </c>
      <c r="AD188">
        <v>0</v>
      </c>
      <c r="AE188" s="19">
        <v>0</v>
      </c>
      <c r="AF188">
        <v>0</v>
      </c>
      <c r="AG188" s="19">
        <v>0</v>
      </c>
      <c r="AH188">
        <v>1</v>
      </c>
      <c r="AI188" s="19">
        <v>368</v>
      </c>
      <c r="AJ188">
        <v>1</v>
      </c>
      <c r="AK188" s="19">
        <v>184</v>
      </c>
      <c r="AL188">
        <v>1</v>
      </c>
      <c r="AM188" s="19">
        <v>368</v>
      </c>
      <c r="AN188">
        <v>1</v>
      </c>
      <c r="AO188" s="19">
        <v>394</v>
      </c>
      <c r="AP188">
        <v>0</v>
      </c>
      <c r="AQ188" s="19">
        <v>0</v>
      </c>
    </row>
    <row r="189" spans="1:43" x14ac:dyDescent="0.35">
      <c r="A189" s="18">
        <v>45477</v>
      </c>
      <c r="B189" t="s">
        <v>58</v>
      </c>
      <c r="C189" t="s">
        <v>53</v>
      </c>
      <c r="D189">
        <v>5</v>
      </c>
      <c r="E189">
        <v>1</v>
      </c>
      <c r="F189">
        <v>4</v>
      </c>
      <c r="G189" s="19">
        <v>2876</v>
      </c>
      <c r="H189" s="19">
        <v>1977</v>
      </c>
      <c r="I189" s="19">
        <v>899</v>
      </c>
      <c r="J189" s="19">
        <v>235</v>
      </c>
      <c r="K189" s="19">
        <v>94</v>
      </c>
      <c r="L189" s="19">
        <v>806</v>
      </c>
      <c r="M189" s="19">
        <v>63</v>
      </c>
      <c r="N189" s="19">
        <v>40</v>
      </c>
      <c r="O189" s="19">
        <f t="shared" si="4"/>
        <v>1238</v>
      </c>
      <c r="P189" s="19">
        <f t="shared" si="5"/>
        <v>1638</v>
      </c>
      <c r="Q189" t="s">
        <v>23</v>
      </c>
      <c r="R189" t="s">
        <v>65</v>
      </c>
      <c r="T189">
        <v>1</v>
      </c>
      <c r="U189" s="19">
        <v>1977</v>
      </c>
      <c r="V189">
        <v>0</v>
      </c>
      <c r="W189" s="19">
        <v>0</v>
      </c>
      <c r="X189">
        <v>0</v>
      </c>
      <c r="Y189" s="19">
        <v>0</v>
      </c>
      <c r="Z189">
        <v>0</v>
      </c>
      <c r="AA189" s="19">
        <v>0</v>
      </c>
      <c r="AB189">
        <v>0</v>
      </c>
      <c r="AC189" s="19">
        <v>0</v>
      </c>
      <c r="AD189">
        <v>0</v>
      </c>
      <c r="AE189" s="19">
        <v>0</v>
      </c>
      <c r="AF189">
        <v>0</v>
      </c>
      <c r="AG189" s="19">
        <v>0</v>
      </c>
      <c r="AH189">
        <v>1</v>
      </c>
      <c r="AI189" s="19">
        <v>252</v>
      </c>
      <c r="AJ189">
        <v>1</v>
      </c>
      <c r="AK189" s="19">
        <v>126</v>
      </c>
      <c r="AL189">
        <v>1</v>
      </c>
      <c r="AM189" s="19">
        <v>252</v>
      </c>
      <c r="AN189">
        <v>1</v>
      </c>
      <c r="AO189" s="19">
        <v>270</v>
      </c>
      <c r="AP189">
        <v>0</v>
      </c>
      <c r="AQ189" s="19">
        <v>0</v>
      </c>
    </row>
    <row r="190" spans="1:43" x14ac:dyDescent="0.35">
      <c r="A190" s="18">
        <v>45478</v>
      </c>
      <c r="B190" t="s">
        <v>59</v>
      </c>
      <c r="C190" t="s">
        <v>53</v>
      </c>
      <c r="D190">
        <v>6</v>
      </c>
      <c r="E190">
        <v>1</v>
      </c>
      <c r="F190">
        <v>5</v>
      </c>
      <c r="G190" s="19">
        <v>3192</v>
      </c>
      <c r="H190" s="19">
        <v>1419</v>
      </c>
      <c r="I190" s="19">
        <v>1773</v>
      </c>
      <c r="J190" s="19">
        <v>235</v>
      </c>
      <c r="K190" s="19">
        <v>94</v>
      </c>
      <c r="L190" s="19">
        <v>806</v>
      </c>
      <c r="M190" s="19">
        <v>70</v>
      </c>
      <c r="N190" s="19">
        <v>49</v>
      </c>
      <c r="O190" s="19">
        <f t="shared" si="4"/>
        <v>1254</v>
      </c>
      <c r="P190" s="19">
        <f t="shared" si="5"/>
        <v>1938</v>
      </c>
      <c r="Q190" t="s">
        <v>27</v>
      </c>
      <c r="R190" t="s">
        <v>65</v>
      </c>
      <c r="T190">
        <v>0</v>
      </c>
      <c r="U190" s="19">
        <v>0</v>
      </c>
      <c r="V190">
        <v>0</v>
      </c>
      <c r="W190" s="19">
        <v>0</v>
      </c>
      <c r="X190">
        <v>0</v>
      </c>
      <c r="Y190" s="19">
        <v>0</v>
      </c>
      <c r="Z190">
        <v>0</v>
      </c>
      <c r="AA190" s="19">
        <v>0</v>
      </c>
      <c r="AB190">
        <v>1</v>
      </c>
      <c r="AC190" s="19">
        <v>1419</v>
      </c>
      <c r="AD190">
        <v>0</v>
      </c>
      <c r="AE190" s="19">
        <v>0</v>
      </c>
      <c r="AF190">
        <v>0</v>
      </c>
      <c r="AG190" s="19">
        <v>0</v>
      </c>
      <c r="AH190">
        <v>1</v>
      </c>
      <c r="AI190" s="19">
        <v>331</v>
      </c>
      <c r="AJ190">
        <v>1</v>
      </c>
      <c r="AK190" s="19">
        <v>166</v>
      </c>
      <c r="AL190">
        <v>1</v>
      </c>
      <c r="AM190" s="19">
        <v>331</v>
      </c>
      <c r="AN190">
        <v>1</v>
      </c>
      <c r="AO190" s="19">
        <v>355</v>
      </c>
      <c r="AP190">
        <v>1</v>
      </c>
      <c r="AQ190" s="19">
        <v>591</v>
      </c>
    </row>
    <row r="191" spans="1:43" x14ac:dyDescent="0.35">
      <c r="A191" s="18">
        <v>45479</v>
      </c>
      <c r="B191" t="s">
        <v>60</v>
      </c>
      <c r="C191" t="s">
        <v>61</v>
      </c>
      <c r="D191">
        <v>8</v>
      </c>
      <c r="E191">
        <v>3</v>
      </c>
      <c r="F191">
        <v>5</v>
      </c>
      <c r="G191" s="19">
        <v>4075</v>
      </c>
      <c r="H191" s="19">
        <v>3135</v>
      </c>
      <c r="I191" s="19">
        <v>940</v>
      </c>
      <c r="J191" s="19">
        <v>235</v>
      </c>
      <c r="K191" s="19">
        <v>94</v>
      </c>
      <c r="L191" s="19">
        <v>806</v>
      </c>
      <c r="M191" s="19">
        <v>90</v>
      </c>
      <c r="N191" s="19">
        <v>65</v>
      </c>
      <c r="O191" s="19">
        <f t="shared" si="4"/>
        <v>1290</v>
      </c>
      <c r="P191" s="19">
        <f t="shared" si="5"/>
        <v>2785</v>
      </c>
      <c r="Q191" t="s">
        <v>23</v>
      </c>
      <c r="R191" t="s">
        <v>65</v>
      </c>
      <c r="T191">
        <v>1</v>
      </c>
      <c r="U191" s="19">
        <v>1379</v>
      </c>
      <c r="V191">
        <v>0</v>
      </c>
      <c r="W191" s="19">
        <v>0</v>
      </c>
      <c r="X191">
        <v>0</v>
      </c>
      <c r="Y191" s="19">
        <v>0</v>
      </c>
      <c r="Z191">
        <v>1</v>
      </c>
      <c r="AA191" s="19">
        <v>1003</v>
      </c>
      <c r="AB191">
        <v>1</v>
      </c>
      <c r="AC191" s="19">
        <v>752</v>
      </c>
      <c r="AD191">
        <v>0</v>
      </c>
      <c r="AE191" s="19">
        <v>0</v>
      </c>
      <c r="AF191">
        <v>0</v>
      </c>
      <c r="AG191" s="19">
        <v>0</v>
      </c>
      <c r="AH191">
        <v>1</v>
      </c>
      <c r="AI191" s="19">
        <v>176</v>
      </c>
      <c r="AJ191">
        <v>1</v>
      </c>
      <c r="AK191" s="19">
        <v>88</v>
      </c>
      <c r="AL191">
        <v>1</v>
      </c>
      <c r="AM191" s="19">
        <v>176</v>
      </c>
      <c r="AN191">
        <v>1</v>
      </c>
      <c r="AO191" s="19">
        <v>188</v>
      </c>
      <c r="AP191">
        <v>1</v>
      </c>
      <c r="AQ191" s="19">
        <v>313</v>
      </c>
    </row>
    <row r="192" spans="1:43" x14ac:dyDescent="0.35">
      <c r="A192" s="18">
        <v>45480</v>
      </c>
      <c r="B192" t="s">
        <v>62</v>
      </c>
      <c r="C192" t="s">
        <v>61</v>
      </c>
      <c r="D192">
        <v>7</v>
      </c>
      <c r="E192">
        <v>2</v>
      </c>
      <c r="F192">
        <v>5</v>
      </c>
      <c r="G192" s="19">
        <v>3446</v>
      </c>
      <c r="H192" s="19">
        <v>2391</v>
      </c>
      <c r="I192" s="19">
        <v>1055</v>
      </c>
      <c r="J192" s="19">
        <v>235</v>
      </c>
      <c r="K192" s="19">
        <v>94</v>
      </c>
      <c r="L192" s="19">
        <v>806</v>
      </c>
      <c r="M192" s="19">
        <v>76</v>
      </c>
      <c r="N192" s="19">
        <v>57</v>
      </c>
      <c r="O192" s="19">
        <f t="shared" si="4"/>
        <v>1268</v>
      </c>
      <c r="P192" s="19">
        <f t="shared" si="5"/>
        <v>2178</v>
      </c>
      <c r="Q192" t="s">
        <v>23</v>
      </c>
      <c r="R192" t="s">
        <v>65</v>
      </c>
      <c r="T192">
        <v>1</v>
      </c>
      <c r="U192" s="19">
        <v>1547</v>
      </c>
      <c r="V192">
        <v>0</v>
      </c>
      <c r="W192" s="19">
        <v>0</v>
      </c>
      <c r="X192">
        <v>0</v>
      </c>
      <c r="Y192" s="19">
        <v>0</v>
      </c>
      <c r="Z192">
        <v>0</v>
      </c>
      <c r="AA192" s="19">
        <v>0</v>
      </c>
      <c r="AB192">
        <v>1</v>
      </c>
      <c r="AC192" s="19">
        <v>844</v>
      </c>
      <c r="AD192">
        <v>0</v>
      </c>
      <c r="AE192" s="19">
        <v>0</v>
      </c>
      <c r="AF192">
        <v>0</v>
      </c>
      <c r="AG192" s="19">
        <v>0</v>
      </c>
      <c r="AH192">
        <v>1</v>
      </c>
      <c r="AI192" s="19">
        <v>197</v>
      </c>
      <c r="AJ192">
        <v>1</v>
      </c>
      <c r="AK192" s="19">
        <v>98</v>
      </c>
      <c r="AL192">
        <v>1</v>
      </c>
      <c r="AM192" s="19">
        <v>197</v>
      </c>
      <c r="AN192">
        <v>1</v>
      </c>
      <c r="AO192" s="19">
        <v>211</v>
      </c>
      <c r="AP192">
        <v>1</v>
      </c>
      <c r="AQ192" s="19">
        <v>352</v>
      </c>
    </row>
    <row r="193" spans="1:43" x14ac:dyDescent="0.35">
      <c r="A193" s="18">
        <v>45481</v>
      </c>
      <c r="B193" t="s">
        <v>52</v>
      </c>
      <c r="C193" t="s">
        <v>53</v>
      </c>
      <c r="D193">
        <v>5</v>
      </c>
      <c r="E193">
        <v>1</v>
      </c>
      <c r="F193">
        <v>4</v>
      </c>
      <c r="G193" s="19">
        <v>2754</v>
      </c>
      <c r="H193" s="19">
        <v>1502</v>
      </c>
      <c r="I193" s="19">
        <v>1252</v>
      </c>
      <c r="J193" s="19">
        <v>235</v>
      </c>
      <c r="K193" s="19">
        <v>94</v>
      </c>
      <c r="L193" s="19">
        <v>806</v>
      </c>
      <c r="M193" s="19">
        <v>61</v>
      </c>
      <c r="N193" s="19">
        <v>40</v>
      </c>
      <c r="O193" s="19">
        <f t="shared" si="4"/>
        <v>1236</v>
      </c>
      <c r="P193" s="19">
        <f t="shared" si="5"/>
        <v>1518</v>
      </c>
      <c r="Q193" t="s">
        <v>27</v>
      </c>
      <c r="R193" t="s">
        <v>65</v>
      </c>
      <c r="T193">
        <v>0</v>
      </c>
      <c r="U193" s="19">
        <v>0</v>
      </c>
      <c r="V193">
        <v>0</v>
      </c>
      <c r="W193" s="19">
        <v>0</v>
      </c>
      <c r="X193">
        <v>0</v>
      </c>
      <c r="Y193" s="19">
        <v>0</v>
      </c>
      <c r="Z193">
        <v>0</v>
      </c>
      <c r="AA193" s="19">
        <v>0</v>
      </c>
      <c r="AB193">
        <v>1</v>
      </c>
      <c r="AC193" s="19">
        <v>1502</v>
      </c>
      <c r="AD193">
        <v>0</v>
      </c>
      <c r="AE193" s="19">
        <v>0</v>
      </c>
      <c r="AF193">
        <v>0</v>
      </c>
      <c r="AG193" s="19">
        <v>0</v>
      </c>
      <c r="AH193">
        <v>1</v>
      </c>
      <c r="AI193" s="19">
        <v>351</v>
      </c>
      <c r="AJ193">
        <v>1</v>
      </c>
      <c r="AK193" s="19">
        <v>175</v>
      </c>
      <c r="AL193">
        <v>1</v>
      </c>
      <c r="AM193" s="19">
        <v>351</v>
      </c>
      <c r="AN193">
        <v>1</v>
      </c>
      <c r="AO193" s="19">
        <v>376</v>
      </c>
      <c r="AP193">
        <v>0</v>
      </c>
      <c r="AQ193" s="19">
        <v>0</v>
      </c>
    </row>
    <row r="194" spans="1:43" x14ac:dyDescent="0.35">
      <c r="A194" s="18">
        <v>45482</v>
      </c>
      <c r="B194" t="s">
        <v>56</v>
      </c>
      <c r="C194" t="s">
        <v>53</v>
      </c>
      <c r="D194">
        <v>5</v>
      </c>
      <c r="E194">
        <v>1</v>
      </c>
      <c r="F194">
        <v>4</v>
      </c>
      <c r="G194" s="19">
        <v>2822</v>
      </c>
      <c r="H194" s="19">
        <v>1940</v>
      </c>
      <c r="I194" s="19">
        <v>882</v>
      </c>
      <c r="J194" s="19">
        <v>235</v>
      </c>
      <c r="K194" s="19">
        <v>94</v>
      </c>
      <c r="L194" s="19">
        <v>806</v>
      </c>
      <c r="M194" s="19">
        <v>62</v>
      </c>
      <c r="N194" s="19">
        <v>40</v>
      </c>
      <c r="O194" s="19">
        <f t="shared" si="4"/>
        <v>1237</v>
      </c>
      <c r="P194" s="19">
        <f t="shared" si="5"/>
        <v>1585</v>
      </c>
      <c r="Q194" t="s">
        <v>23</v>
      </c>
      <c r="R194" t="s">
        <v>65</v>
      </c>
      <c r="T194">
        <v>1</v>
      </c>
      <c r="U194" s="19">
        <v>1940</v>
      </c>
      <c r="V194">
        <v>0</v>
      </c>
      <c r="W194" s="19">
        <v>0</v>
      </c>
      <c r="X194">
        <v>0</v>
      </c>
      <c r="Y194" s="19">
        <v>0</v>
      </c>
      <c r="Z194">
        <v>0</v>
      </c>
      <c r="AA194" s="19">
        <v>0</v>
      </c>
      <c r="AB194">
        <v>0</v>
      </c>
      <c r="AC194" s="19">
        <v>0</v>
      </c>
      <c r="AD194">
        <v>0</v>
      </c>
      <c r="AE194" s="19">
        <v>0</v>
      </c>
      <c r="AF194">
        <v>0</v>
      </c>
      <c r="AG194" s="19">
        <v>0</v>
      </c>
      <c r="AH194">
        <v>1</v>
      </c>
      <c r="AI194" s="19">
        <v>247</v>
      </c>
      <c r="AJ194">
        <v>1</v>
      </c>
      <c r="AK194" s="19">
        <v>123</v>
      </c>
      <c r="AL194">
        <v>1</v>
      </c>
      <c r="AM194" s="19">
        <v>247</v>
      </c>
      <c r="AN194">
        <v>1</v>
      </c>
      <c r="AO194" s="19">
        <v>265</v>
      </c>
      <c r="AP194">
        <v>0</v>
      </c>
      <c r="AQ194" s="19">
        <v>0</v>
      </c>
    </row>
    <row r="195" spans="1:43" x14ac:dyDescent="0.35">
      <c r="A195" s="18">
        <v>45483</v>
      </c>
      <c r="B195" t="s">
        <v>57</v>
      </c>
      <c r="C195" t="s">
        <v>53</v>
      </c>
      <c r="D195">
        <v>6</v>
      </c>
      <c r="E195">
        <v>2</v>
      </c>
      <c r="F195">
        <v>4</v>
      </c>
      <c r="G195" s="19">
        <v>3010</v>
      </c>
      <c r="H195" s="19">
        <v>2326</v>
      </c>
      <c r="I195" s="19">
        <v>684</v>
      </c>
      <c r="J195" s="19">
        <v>235</v>
      </c>
      <c r="K195" s="19">
        <v>94</v>
      </c>
      <c r="L195" s="19">
        <v>806</v>
      </c>
      <c r="M195" s="19">
        <v>66</v>
      </c>
      <c r="N195" s="19">
        <v>49</v>
      </c>
      <c r="O195" s="19">
        <f t="shared" si="4"/>
        <v>1250</v>
      </c>
      <c r="P195" s="19">
        <f t="shared" si="5"/>
        <v>1760</v>
      </c>
      <c r="Q195" t="s">
        <v>23</v>
      </c>
      <c r="R195" t="s">
        <v>65</v>
      </c>
      <c r="T195">
        <v>1</v>
      </c>
      <c r="U195" s="19">
        <v>1505</v>
      </c>
      <c r="V195">
        <v>0</v>
      </c>
      <c r="W195" s="19">
        <v>0</v>
      </c>
      <c r="X195">
        <v>0</v>
      </c>
      <c r="Y195" s="19">
        <v>0</v>
      </c>
      <c r="Z195">
        <v>0</v>
      </c>
      <c r="AA195" s="19">
        <v>0</v>
      </c>
      <c r="AB195">
        <v>1</v>
      </c>
      <c r="AC195" s="19">
        <v>821</v>
      </c>
      <c r="AD195">
        <v>0</v>
      </c>
      <c r="AE195" s="19">
        <v>0</v>
      </c>
      <c r="AF195">
        <v>0</v>
      </c>
      <c r="AG195" s="19">
        <v>0</v>
      </c>
      <c r="AH195">
        <v>1</v>
      </c>
      <c r="AI195" s="19">
        <v>192</v>
      </c>
      <c r="AJ195">
        <v>1</v>
      </c>
      <c r="AK195" s="19">
        <v>96</v>
      </c>
      <c r="AL195">
        <v>1</v>
      </c>
      <c r="AM195" s="19">
        <v>192</v>
      </c>
      <c r="AN195">
        <v>1</v>
      </c>
      <c r="AO195" s="19">
        <v>205</v>
      </c>
      <c r="AP195">
        <v>0</v>
      </c>
      <c r="AQ195" s="19">
        <v>0</v>
      </c>
    </row>
    <row r="196" spans="1:43" x14ac:dyDescent="0.35">
      <c r="A196" s="18">
        <v>45484</v>
      </c>
      <c r="B196" t="s">
        <v>58</v>
      </c>
      <c r="C196" t="s">
        <v>53</v>
      </c>
      <c r="D196">
        <v>6</v>
      </c>
      <c r="E196">
        <v>2</v>
      </c>
      <c r="F196">
        <v>4</v>
      </c>
      <c r="G196" s="19">
        <v>2918</v>
      </c>
      <c r="H196" s="19">
        <v>2255</v>
      </c>
      <c r="I196" s="19">
        <v>663</v>
      </c>
      <c r="J196" s="19">
        <v>235</v>
      </c>
      <c r="K196" s="19">
        <v>94</v>
      </c>
      <c r="L196" s="19">
        <v>806</v>
      </c>
      <c r="M196" s="19">
        <v>64</v>
      </c>
      <c r="N196" s="19">
        <v>49</v>
      </c>
      <c r="O196" s="19">
        <f t="shared" ref="O196:O259" si="6">SUM(J196:N196)</f>
        <v>1248</v>
      </c>
      <c r="P196" s="19">
        <f t="shared" ref="P196:P259" si="7">G196-O196</f>
        <v>1670</v>
      </c>
      <c r="Q196" t="s">
        <v>23</v>
      </c>
      <c r="R196" t="s">
        <v>65</v>
      </c>
      <c r="T196">
        <v>1</v>
      </c>
      <c r="U196" s="19">
        <v>1459</v>
      </c>
      <c r="V196">
        <v>0</v>
      </c>
      <c r="W196" s="19">
        <v>0</v>
      </c>
      <c r="X196">
        <v>0</v>
      </c>
      <c r="Y196" s="19">
        <v>0</v>
      </c>
      <c r="Z196">
        <v>0</v>
      </c>
      <c r="AA196" s="19">
        <v>0</v>
      </c>
      <c r="AB196">
        <v>1</v>
      </c>
      <c r="AC196" s="19">
        <v>796</v>
      </c>
      <c r="AD196">
        <v>0</v>
      </c>
      <c r="AE196" s="19">
        <v>0</v>
      </c>
      <c r="AF196">
        <v>0</v>
      </c>
      <c r="AG196" s="19">
        <v>0</v>
      </c>
      <c r="AH196">
        <v>1</v>
      </c>
      <c r="AI196" s="19">
        <v>186</v>
      </c>
      <c r="AJ196">
        <v>1</v>
      </c>
      <c r="AK196" s="19">
        <v>93</v>
      </c>
      <c r="AL196">
        <v>1</v>
      </c>
      <c r="AM196" s="19">
        <v>186</v>
      </c>
      <c r="AN196">
        <v>1</v>
      </c>
      <c r="AO196" s="19">
        <v>199</v>
      </c>
      <c r="AP196">
        <v>0</v>
      </c>
      <c r="AQ196" s="19">
        <v>0</v>
      </c>
    </row>
    <row r="197" spans="1:43" x14ac:dyDescent="0.35">
      <c r="A197" s="18">
        <v>45485</v>
      </c>
      <c r="B197" t="s">
        <v>59</v>
      </c>
      <c r="C197" t="s">
        <v>53</v>
      </c>
      <c r="D197">
        <v>6</v>
      </c>
      <c r="E197">
        <v>1</v>
      </c>
      <c r="F197">
        <v>5</v>
      </c>
      <c r="G197" s="19">
        <v>3053</v>
      </c>
      <c r="H197" s="19">
        <v>1815</v>
      </c>
      <c r="I197" s="19">
        <v>1238</v>
      </c>
      <c r="J197" s="19">
        <v>235</v>
      </c>
      <c r="K197" s="19">
        <v>94</v>
      </c>
      <c r="L197" s="19">
        <v>806</v>
      </c>
      <c r="M197" s="19">
        <v>67</v>
      </c>
      <c r="N197" s="19">
        <v>49</v>
      </c>
      <c r="O197" s="19">
        <f t="shared" si="6"/>
        <v>1251</v>
      </c>
      <c r="P197" s="19">
        <f t="shared" si="7"/>
        <v>1802</v>
      </c>
      <c r="Q197" t="s">
        <v>23</v>
      </c>
      <c r="R197" t="s">
        <v>65</v>
      </c>
      <c r="T197">
        <v>1</v>
      </c>
      <c r="U197" s="19">
        <v>1815</v>
      </c>
      <c r="V197">
        <v>0</v>
      </c>
      <c r="W197" s="19">
        <v>0</v>
      </c>
      <c r="X197">
        <v>0</v>
      </c>
      <c r="Y197" s="19">
        <v>0</v>
      </c>
      <c r="Z197">
        <v>0</v>
      </c>
      <c r="AA197" s="19">
        <v>0</v>
      </c>
      <c r="AB197">
        <v>0</v>
      </c>
      <c r="AC197" s="19">
        <v>0</v>
      </c>
      <c r="AD197">
        <v>0</v>
      </c>
      <c r="AE197" s="19">
        <v>0</v>
      </c>
      <c r="AF197">
        <v>0</v>
      </c>
      <c r="AG197" s="19">
        <v>0</v>
      </c>
      <c r="AH197">
        <v>1</v>
      </c>
      <c r="AI197" s="19">
        <v>231</v>
      </c>
      <c r="AJ197">
        <v>1</v>
      </c>
      <c r="AK197" s="19">
        <v>116</v>
      </c>
      <c r="AL197">
        <v>1</v>
      </c>
      <c r="AM197" s="19">
        <v>231</v>
      </c>
      <c r="AN197">
        <v>1</v>
      </c>
      <c r="AO197" s="19">
        <v>248</v>
      </c>
      <c r="AP197">
        <v>1</v>
      </c>
      <c r="AQ197" s="19">
        <v>413</v>
      </c>
    </row>
    <row r="198" spans="1:43" x14ac:dyDescent="0.35">
      <c r="A198" s="18">
        <v>45486</v>
      </c>
      <c r="B198" t="s">
        <v>60</v>
      </c>
      <c r="C198" t="s">
        <v>61</v>
      </c>
      <c r="D198">
        <v>7</v>
      </c>
      <c r="E198">
        <v>2</v>
      </c>
      <c r="F198">
        <v>5</v>
      </c>
      <c r="G198" s="19">
        <v>3681</v>
      </c>
      <c r="H198" s="19">
        <v>2554</v>
      </c>
      <c r="I198" s="19">
        <v>1127</v>
      </c>
      <c r="J198" s="19">
        <v>235</v>
      </c>
      <c r="K198" s="19">
        <v>94</v>
      </c>
      <c r="L198" s="19">
        <v>806</v>
      </c>
      <c r="M198" s="19">
        <v>81</v>
      </c>
      <c r="N198" s="19">
        <v>57</v>
      </c>
      <c r="O198" s="19">
        <f t="shared" si="6"/>
        <v>1273</v>
      </c>
      <c r="P198" s="19">
        <f t="shared" si="7"/>
        <v>2408</v>
      </c>
      <c r="Q198" t="s">
        <v>23</v>
      </c>
      <c r="R198" t="s">
        <v>65</v>
      </c>
      <c r="T198">
        <v>1</v>
      </c>
      <c r="U198" s="19">
        <v>1653</v>
      </c>
      <c r="V198">
        <v>0</v>
      </c>
      <c r="W198" s="19">
        <v>0</v>
      </c>
      <c r="X198">
        <v>0</v>
      </c>
      <c r="Y198" s="19">
        <v>0</v>
      </c>
      <c r="Z198">
        <v>0</v>
      </c>
      <c r="AA198" s="19">
        <v>0</v>
      </c>
      <c r="AB198">
        <v>1</v>
      </c>
      <c r="AC198" s="19">
        <v>901</v>
      </c>
      <c r="AD198">
        <v>0</v>
      </c>
      <c r="AE198" s="19">
        <v>0</v>
      </c>
      <c r="AF198">
        <v>0</v>
      </c>
      <c r="AG198" s="19">
        <v>0</v>
      </c>
      <c r="AH198">
        <v>1</v>
      </c>
      <c r="AI198" s="19">
        <v>210</v>
      </c>
      <c r="AJ198">
        <v>1</v>
      </c>
      <c r="AK198" s="19">
        <v>105</v>
      </c>
      <c r="AL198">
        <v>1</v>
      </c>
      <c r="AM198" s="19">
        <v>210</v>
      </c>
      <c r="AN198">
        <v>1</v>
      </c>
      <c r="AO198" s="19">
        <v>225</v>
      </c>
      <c r="AP198">
        <v>1</v>
      </c>
      <c r="AQ198" s="19">
        <v>376</v>
      </c>
    </row>
    <row r="199" spans="1:43" x14ac:dyDescent="0.35">
      <c r="A199" s="18">
        <v>45487</v>
      </c>
      <c r="B199" t="s">
        <v>62</v>
      </c>
      <c r="C199" t="s">
        <v>61</v>
      </c>
      <c r="D199">
        <v>7</v>
      </c>
      <c r="E199">
        <v>2</v>
      </c>
      <c r="F199">
        <v>5</v>
      </c>
      <c r="G199" s="19">
        <v>3869</v>
      </c>
      <c r="H199" s="19">
        <v>2685</v>
      </c>
      <c r="I199" s="19">
        <v>1184</v>
      </c>
      <c r="J199" s="19">
        <v>235</v>
      </c>
      <c r="K199" s="19">
        <v>94</v>
      </c>
      <c r="L199" s="19">
        <v>806</v>
      </c>
      <c r="M199" s="19">
        <v>85</v>
      </c>
      <c r="N199" s="19">
        <v>57</v>
      </c>
      <c r="O199" s="19">
        <f t="shared" si="6"/>
        <v>1277</v>
      </c>
      <c r="P199" s="19">
        <f t="shared" si="7"/>
        <v>2592</v>
      </c>
      <c r="Q199" t="s">
        <v>23</v>
      </c>
      <c r="R199" t="s">
        <v>65</v>
      </c>
      <c r="T199">
        <v>1</v>
      </c>
      <c r="U199" s="19">
        <v>1737</v>
      </c>
      <c r="V199">
        <v>0</v>
      </c>
      <c r="W199" s="19">
        <v>0</v>
      </c>
      <c r="X199">
        <v>0</v>
      </c>
      <c r="Y199" s="19">
        <v>0</v>
      </c>
      <c r="Z199">
        <v>0</v>
      </c>
      <c r="AA199" s="19">
        <v>0</v>
      </c>
      <c r="AB199">
        <v>1</v>
      </c>
      <c r="AC199" s="19">
        <v>948</v>
      </c>
      <c r="AD199">
        <v>0</v>
      </c>
      <c r="AE199" s="19">
        <v>0</v>
      </c>
      <c r="AF199">
        <v>0</v>
      </c>
      <c r="AG199" s="19">
        <v>0</v>
      </c>
      <c r="AH199">
        <v>1</v>
      </c>
      <c r="AI199" s="19">
        <v>221</v>
      </c>
      <c r="AJ199">
        <v>1</v>
      </c>
      <c r="AK199" s="19">
        <v>111</v>
      </c>
      <c r="AL199">
        <v>1</v>
      </c>
      <c r="AM199" s="19">
        <v>221</v>
      </c>
      <c r="AN199">
        <v>1</v>
      </c>
      <c r="AO199" s="19">
        <v>237</v>
      </c>
      <c r="AP199">
        <v>1</v>
      </c>
      <c r="AQ199" s="19">
        <v>395</v>
      </c>
    </row>
    <row r="200" spans="1:43" x14ac:dyDescent="0.35">
      <c r="A200" s="18">
        <v>45488</v>
      </c>
      <c r="B200" t="s">
        <v>52</v>
      </c>
      <c r="C200" t="s">
        <v>53</v>
      </c>
      <c r="D200">
        <v>5</v>
      </c>
      <c r="E200">
        <v>1</v>
      </c>
      <c r="F200">
        <v>4</v>
      </c>
      <c r="G200" s="19">
        <v>2893</v>
      </c>
      <c r="H200" s="19">
        <v>1578</v>
      </c>
      <c r="I200" s="19">
        <v>1315</v>
      </c>
      <c r="J200" s="19">
        <v>235</v>
      </c>
      <c r="K200" s="19">
        <v>94</v>
      </c>
      <c r="L200" s="19">
        <v>806</v>
      </c>
      <c r="M200" s="19">
        <v>64</v>
      </c>
      <c r="N200" s="19">
        <v>40</v>
      </c>
      <c r="O200" s="19">
        <f t="shared" si="6"/>
        <v>1239</v>
      </c>
      <c r="P200" s="19">
        <f t="shared" si="7"/>
        <v>1654</v>
      </c>
      <c r="Q200" t="s">
        <v>27</v>
      </c>
      <c r="R200" t="s">
        <v>65</v>
      </c>
      <c r="T200">
        <v>0</v>
      </c>
      <c r="U200" s="19">
        <v>0</v>
      </c>
      <c r="V200">
        <v>0</v>
      </c>
      <c r="W200" s="19">
        <v>0</v>
      </c>
      <c r="X200">
        <v>0</v>
      </c>
      <c r="Y200" s="19">
        <v>0</v>
      </c>
      <c r="Z200">
        <v>0</v>
      </c>
      <c r="AA200" s="19">
        <v>0</v>
      </c>
      <c r="AB200">
        <v>1</v>
      </c>
      <c r="AC200" s="19">
        <v>1578</v>
      </c>
      <c r="AD200">
        <v>0</v>
      </c>
      <c r="AE200" s="19">
        <v>0</v>
      </c>
      <c r="AF200">
        <v>0</v>
      </c>
      <c r="AG200" s="19">
        <v>0</v>
      </c>
      <c r="AH200">
        <v>1</v>
      </c>
      <c r="AI200" s="19">
        <v>368</v>
      </c>
      <c r="AJ200">
        <v>1</v>
      </c>
      <c r="AK200" s="19">
        <v>184</v>
      </c>
      <c r="AL200">
        <v>1</v>
      </c>
      <c r="AM200" s="19">
        <v>368</v>
      </c>
      <c r="AN200">
        <v>1</v>
      </c>
      <c r="AO200" s="19">
        <v>394</v>
      </c>
      <c r="AP200">
        <v>0</v>
      </c>
      <c r="AQ200" s="19">
        <v>0</v>
      </c>
    </row>
    <row r="201" spans="1:43" x14ac:dyDescent="0.35">
      <c r="A201" s="18">
        <v>45489</v>
      </c>
      <c r="B201" t="s">
        <v>56</v>
      </c>
      <c r="C201" t="s">
        <v>53</v>
      </c>
      <c r="D201">
        <v>5</v>
      </c>
      <c r="E201">
        <v>1</v>
      </c>
      <c r="F201">
        <v>4</v>
      </c>
      <c r="G201" s="19">
        <v>2767</v>
      </c>
      <c r="H201" s="19">
        <v>1509</v>
      </c>
      <c r="I201" s="19">
        <v>1258</v>
      </c>
      <c r="J201" s="19">
        <v>235</v>
      </c>
      <c r="K201" s="19">
        <v>94</v>
      </c>
      <c r="L201" s="19">
        <v>806</v>
      </c>
      <c r="M201" s="19">
        <v>61</v>
      </c>
      <c r="N201" s="19">
        <v>40</v>
      </c>
      <c r="O201" s="19">
        <f t="shared" si="6"/>
        <v>1236</v>
      </c>
      <c r="P201" s="19">
        <f t="shared" si="7"/>
        <v>1531</v>
      </c>
      <c r="Q201" t="s">
        <v>27</v>
      </c>
      <c r="R201" t="s">
        <v>65</v>
      </c>
      <c r="T201">
        <v>0</v>
      </c>
      <c r="U201" s="19">
        <v>0</v>
      </c>
      <c r="V201">
        <v>0</v>
      </c>
      <c r="W201" s="19">
        <v>0</v>
      </c>
      <c r="X201">
        <v>0</v>
      </c>
      <c r="Y201" s="19">
        <v>0</v>
      </c>
      <c r="Z201">
        <v>0</v>
      </c>
      <c r="AA201" s="19">
        <v>0</v>
      </c>
      <c r="AB201">
        <v>1</v>
      </c>
      <c r="AC201" s="19">
        <v>1509</v>
      </c>
      <c r="AD201">
        <v>0</v>
      </c>
      <c r="AE201" s="19">
        <v>0</v>
      </c>
      <c r="AF201">
        <v>0</v>
      </c>
      <c r="AG201" s="19">
        <v>0</v>
      </c>
      <c r="AH201">
        <v>1</v>
      </c>
      <c r="AI201" s="19">
        <v>352</v>
      </c>
      <c r="AJ201">
        <v>1</v>
      </c>
      <c r="AK201" s="19">
        <v>176</v>
      </c>
      <c r="AL201">
        <v>1</v>
      </c>
      <c r="AM201" s="19">
        <v>352</v>
      </c>
      <c r="AN201">
        <v>1</v>
      </c>
      <c r="AO201" s="19">
        <v>377</v>
      </c>
      <c r="AP201">
        <v>0</v>
      </c>
      <c r="AQ201" s="19">
        <v>0</v>
      </c>
    </row>
    <row r="202" spans="1:43" x14ac:dyDescent="0.35">
      <c r="A202" s="18">
        <v>45490</v>
      </c>
      <c r="B202" t="s">
        <v>57</v>
      </c>
      <c r="C202" t="s">
        <v>53</v>
      </c>
      <c r="D202">
        <v>5</v>
      </c>
      <c r="E202">
        <v>1</v>
      </c>
      <c r="F202">
        <v>4</v>
      </c>
      <c r="G202" s="19">
        <v>2714</v>
      </c>
      <c r="H202" s="19">
        <v>1866</v>
      </c>
      <c r="I202" s="19">
        <v>848</v>
      </c>
      <c r="J202" s="19">
        <v>235</v>
      </c>
      <c r="K202" s="19">
        <v>94</v>
      </c>
      <c r="L202" s="19">
        <v>806</v>
      </c>
      <c r="M202" s="19">
        <v>60</v>
      </c>
      <c r="N202" s="19">
        <v>40</v>
      </c>
      <c r="O202" s="19">
        <f t="shared" si="6"/>
        <v>1235</v>
      </c>
      <c r="P202" s="19">
        <f t="shared" si="7"/>
        <v>1479</v>
      </c>
      <c r="Q202" t="s">
        <v>23</v>
      </c>
      <c r="R202" t="s">
        <v>65</v>
      </c>
      <c r="T202">
        <v>1</v>
      </c>
      <c r="U202" s="19">
        <v>1866</v>
      </c>
      <c r="V202">
        <v>0</v>
      </c>
      <c r="W202" s="19">
        <v>0</v>
      </c>
      <c r="X202">
        <v>0</v>
      </c>
      <c r="Y202" s="19">
        <v>0</v>
      </c>
      <c r="Z202">
        <v>0</v>
      </c>
      <c r="AA202" s="19">
        <v>0</v>
      </c>
      <c r="AB202">
        <v>0</v>
      </c>
      <c r="AC202" s="19">
        <v>0</v>
      </c>
      <c r="AD202">
        <v>0</v>
      </c>
      <c r="AE202" s="19">
        <v>0</v>
      </c>
      <c r="AF202">
        <v>0</v>
      </c>
      <c r="AG202" s="19">
        <v>0</v>
      </c>
      <c r="AH202">
        <v>1</v>
      </c>
      <c r="AI202" s="19">
        <v>237</v>
      </c>
      <c r="AJ202">
        <v>1</v>
      </c>
      <c r="AK202" s="19">
        <v>119</v>
      </c>
      <c r="AL202">
        <v>1</v>
      </c>
      <c r="AM202" s="19">
        <v>237</v>
      </c>
      <c r="AN202">
        <v>1</v>
      </c>
      <c r="AO202" s="19">
        <v>254</v>
      </c>
      <c r="AP202">
        <v>0</v>
      </c>
      <c r="AQ202" s="19">
        <v>0</v>
      </c>
    </row>
    <row r="203" spans="1:43" x14ac:dyDescent="0.35">
      <c r="A203" s="18">
        <v>45491</v>
      </c>
      <c r="B203" t="s">
        <v>58</v>
      </c>
      <c r="C203" t="s">
        <v>53</v>
      </c>
      <c r="D203">
        <v>6</v>
      </c>
      <c r="E203">
        <v>2</v>
      </c>
      <c r="F203">
        <v>4</v>
      </c>
      <c r="G203" s="19">
        <v>3000</v>
      </c>
      <c r="H203" s="19">
        <v>2318</v>
      </c>
      <c r="I203" s="19">
        <v>682</v>
      </c>
      <c r="J203" s="19">
        <v>235</v>
      </c>
      <c r="K203" s="19">
        <v>94</v>
      </c>
      <c r="L203" s="19">
        <v>806</v>
      </c>
      <c r="M203" s="19">
        <v>66</v>
      </c>
      <c r="N203" s="19">
        <v>49</v>
      </c>
      <c r="O203" s="19">
        <f t="shared" si="6"/>
        <v>1250</v>
      </c>
      <c r="P203" s="19">
        <f t="shared" si="7"/>
        <v>1750</v>
      </c>
      <c r="Q203" t="s">
        <v>23</v>
      </c>
      <c r="R203" t="s">
        <v>65</v>
      </c>
      <c r="T203">
        <v>1</v>
      </c>
      <c r="U203" s="19">
        <v>1500</v>
      </c>
      <c r="V203">
        <v>0</v>
      </c>
      <c r="W203" s="19">
        <v>0</v>
      </c>
      <c r="X203">
        <v>0</v>
      </c>
      <c r="Y203" s="19">
        <v>0</v>
      </c>
      <c r="Z203">
        <v>0</v>
      </c>
      <c r="AA203" s="19">
        <v>0</v>
      </c>
      <c r="AB203">
        <v>1</v>
      </c>
      <c r="AC203" s="19">
        <v>818</v>
      </c>
      <c r="AD203">
        <v>0</v>
      </c>
      <c r="AE203" s="19">
        <v>0</v>
      </c>
      <c r="AF203">
        <v>0</v>
      </c>
      <c r="AG203" s="19">
        <v>0</v>
      </c>
      <c r="AH203">
        <v>1</v>
      </c>
      <c r="AI203" s="19">
        <v>191</v>
      </c>
      <c r="AJ203">
        <v>1</v>
      </c>
      <c r="AK203" s="19">
        <v>95</v>
      </c>
      <c r="AL203">
        <v>1</v>
      </c>
      <c r="AM203" s="19">
        <v>191</v>
      </c>
      <c r="AN203">
        <v>1</v>
      </c>
      <c r="AO203" s="19">
        <v>205</v>
      </c>
      <c r="AP203">
        <v>0</v>
      </c>
      <c r="AQ203" s="19">
        <v>0</v>
      </c>
    </row>
    <row r="204" spans="1:43" x14ac:dyDescent="0.35">
      <c r="A204" s="18">
        <v>45492</v>
      </c>
      <c r="B204" t="s">
        <v>59</v>
      </c>
      <c r="C204" t="s">
        <v>53</v>
      </c>
      <c r="D204">
        <v>6</v>
      </c>
      <c r="E204">
        <v>2</v>
      </c>
      <c r="F204">
        <v>4</v>
      </c>
      <c r="G204" s="19">
        <v>3194</v>
      </c>
      <c r="H204" s="19">
        <v>2468</v>
      </c>
      <c r="I204" s="19">
        <v>726</v>
      </c>
      <c r="J204" s="19">
        <v>235</v>
      </c>
      <c r="K204" s="19">
        <v>94</v>
      </c>
      <c r="L204" s="19">
        <v>806</v>
      </c>
      <c r="M204" s="19">
        <v>70</v>
      </c>
      <c r="N204" s="19">
        <v>49</v>
      </c>
      <c r="O204" s="19">
        <f t="shared" si="6"/>
        <v>1254</v>
      </c>
      <c r="P204" s="19">
        <f t="shared" si="7"/>
        <v>1940</v>
      </c>
      <c r="Q204" t="s">
        <v>23</v>
      </c>
      <c r="R204" t="s">
        <v>65</v>
      </c>
      <c r="T204">
        <v>1</v>
      </c>
      <c r="U204" s="19">
        <v>1597</v>
      </c>
      <c r="V204">
        <v>0</v>
      </c>
      <c r="W204" s="19">
        <v>0</v>
      </c>
      <c r="X204">
        <v>0</v>
      </c>
      <c r="Y204" s="19">
        <v>0</v>
      </c>
      <c r="Z204">
        <v>0</v>
      </c>
      <c r="AA204" s="19">
        <v>0</v>
      </c>
      <c r="AB204">
        <v>1</v>
      </c>
      <c r="AC204" s="19">
        <v>871</v>
      </c>
      <c r="AD204">
        <v>0</v>
      </c>
      <c r="AE204" s="19">
        <v>0</v>
      </c>
      <c r="AF204">
        <v>0</v>
      </c>
      <c r="AG204" s="19">
        <v>0</v>
      </c>
      <c r="AH204">
        <v>1</v>
      </c>
      <c r="AI204" s="19">
        <v>203</v>
      </c>
      <c r="AJ204">
        <v>1</v>
      </c>
      <c r="AK204" s="19">
        <v>102</v>
      </c>
      <c r="AL204">
        <v>1</v>
      </c>
      <c r="AM204" s="19">
        <v>203</v>
      </c>
      <c r="AN204">
        <v>1</v>
      </c>
      <c r="AO204" s="19">
        <v>218</v>
      </c>
      <c r="AP204">
        <v>0</v>
      </c>
      <c r="AQ204" s="19">
        <v>0</v>
      </c>
    </row>
    <row r="205" spans="1:43" x14ac:dyDescent="0.35">
      <c r="A205" s="18">
        <v>45493</v>
      </c>
      <c r="B205" t="s">
        <v>60</v>
      </c>
      <c r="C205" t="s">
        <v>61</v>
      </c>
      <c r="D205">
        <v>7</v>
      </c>
      <c r="E205">
        <v>2</v>
      </c>
      <c r="F205">
        <v>5</v>
      </c>
      <c r="G205" s="19">
        <v>3804</v>
      </c>
      <c r="H205" s="19">
        <v>2640</v>
      </c>
      <c r="I205" s="19">
        <v>1164</v>
      </c>
      <c r="J205" s="19">
        <v>235</v>
      </c>
      <c r="K205" s="19">
        <v>94</v>
      </c>
      <c r="L205" s="19">
        <v>806</v>
      </c>
      <c r="M205" s="19">
        <v>84</v>
      </c>
      <c r="N205" s="19">
        <v>57</v>
      </c>
      <c r="O205" s="19">
        <f t="shared" si="6"/>
        <v>1276</v>
      </c>
      <c r="P205" s="19">
        <f t="shared" si="7"/>
        <v>2528</v>
      </c>
      <c r="Q205" t="s">
        <v>23</v>
      </c>
      <c r="R205" t="s">
        <v>65</v>
      </c>
      <c r="T205">
        <v>1</v>
      </c>
      <c r="U205" s="19">
        <v>1708</v>
      </c>
      <c r="V205">
        <v>0</v>
      </c>
      <c r="W205" s="19">
        <v>0</v>
      </c>
      <c r="X205">
        <v>0</v>
      </c>
      <c r="Y205" s="19">
        <v>0</v>
      </c>
      <c r="Z205">
        <v>0</v>
      </c>
      <c r="AA205" s="19">
        <v>0</v>
      </c>
      <c r="AB205">
        <v>1</v>
      </c>
      <c r="AC205" s="19">
        <v>932</v>
      </c>
      <c r="AD205">
        <v>0</v>
      </c>
      <c r="AE205" s="19">
        <v>0</v>
      </c>
      <c r="AF205">
        <v>0</v>
      </c>
      <c r="AG205" s="19">
        <v>0</v>
      </c>
      <c r="AH205">
        <v>1</v>
      </c>
      <c r="AI205" s="19">
        <v>217</v>
      </c>
      <c r="AJ205">
        <v>1</v>
      </c>
      <c r="AK205" s="19">
        <v>109</v>
      </c>
      <c r="AL205">
        <v>1</v>
      </c>
      <c r="AM205" s="19">
        <v>217</v>
      </c>
      <c r="AN205">
        <v>1</v>
      </c>
      <c r="AO205" s="19">
        <v>233</v>
      </c>
      <c r="AP205">
        <v>1</v>
      </c>
      <c r="AQ205" s="19">
        <v>388</v>
      </c>
    </row>
    <row r="206" spans="1:43" x14ac:dyDescent="0.35">
      <c r="A206" s="18">
        <v>45494</v>
      </c>
      <c r="B206" t="s">
        <v>62</v>
      </c>
      <c r="C206" t="s">
        <v>61</v>
      </c>
      <c r="D206">
        <v>7</v>
      </c>
      <c r="E206">
        <v>2</v>
      </c>
      <c r="F206">
        <v>5</v>
      </c>
      <c r="G206" s="19">
        <v>3679</v>
      </c>
      <c r="H206" s="19">
        <v>2553</v>
      </c>
      <c r="I206" s="19">
        <v>1126</v>
      </c>
      <c r="J206" s="19">
        <v>235</v>
      </c>
      <c r="K206" s="19">
        <v>94</v>
      </c>
      <c r="L206" s="19">
        <v>806</v>
      </c>
      <c r="M206" s="19">
        <v>81</v>
      </c>
      <c r="N206" s="19">
        <v>57</v>
      </c>
      <c r="O206" s="19">
        <f t="shared" si="6"/>
        <v>1273</v>
      </c>
      <c r="P206" s="19">
        <f t="shared" si="7"/>
        <v>2406</v>
      </c>
      <c r="Q206" t="s">
        <v>23</v>
      </c>
      <c r="R206" t="s">
        <v>65</v>
      </c>
      <c r="T206">
        <v>1</v>
      </c>
      <c r="U206" s="19">
        <v>1652</v>
      </c>
      <c r="V206">
        <v>0</v>
      </c>
      <c r="W206" s="19">
        <v>0</v>
      </c>
      <c r="X206">
        <v>0</v>
      </c>
      <c r="Y206" s="19">
        <v>0</v>
      </c>
      <c r="Z206">
        <v>0</v>
      </c>
      <c r="AA206" s="19">
        <v>0</v>
      </c>
      <c r="AB206">
        <v>1</v>
      </c>
      <c r="AC206" s="19">
        <v>901</v>
      </c>
      <c r="AD206">
        <v>0</v>
      </c>
      <c r="AE206" s="19">
        <v>0</v>
      </c>
      <c r="AF206">
        <v>0</v>
      </c>
      <c r="AG206" s="19">
        <v>0</v>
      </c>
      <c r="AH206">
        <v>1</v>
      </c>
      <c r="AI206" s="19">
        <v>210</v>
      </c>
      <c r="AJ206">
        <v>1</v>
      </c>
      <c r="AK206" s="19">
        <v>105</v>
      </c>
      <c r="AL206">
        <v>1</v>
      </c>
      <c r="AM206" s="19">
        <v>210</v>
      </c>
      <c r="AN206">
        <v>1</v>
      </c>
      <c r="AO206" s="19">
        <v>225</v>
      </c>
      <c r="AP206">
        <v>1</v>
      </c>
      <c r="AQ206" s="19">
        <v>375</v>
      </c>
    </row>
    <row r="207" spans="1:43" x14ac:dyDescent="0.35">
      <c r="A207" s="18">
        <v>45495</v>
      </c>
      <c r="B207" t="s">
        <v>52</v>
      </c>
      <c r="C207" t="s">
        <v>53</v>
      </c>
      <c r="D207">
        <v>5</v>
      </c>
      <c r="E207">
        <v>1</v>
      </c>
      <c r="F207">
        <v>4</v>
      </c>
      <c r="G207" s="19">
        <v>2776</v>
      </c>
      <c r="H207" s="19">
        <v>1908</v>
      </c>
      <c r="I207" s="19">
        <v>868</v>
      </c>
      <c r="J207" s="19">
        <v>235</v>
      </c>
      <c r="K207" s="19">
        <v>94</v>
      </c>
      <c r="L207" s="19">
        <v>806</v>
      </c>
      <c r="M207" s="19">
        <v>61</v>
      </c>
      <c r="N207" s="19">
        <v>40</v>
      </c>
      <c r="O207" s="19">
        <f t="shared" si="6"/>
        <v>1236</v>
      </c>
      <c r="P207" s="19">
        <f t="shared" si="7"/>
        <v>1540</v>
      </c>
      <c r="Q207" t="s">
        <v>23</v>
      </c>
      <c r="R207" t="s">
        <v>65</v>
      </c>
      <c r="T207">
        <v>1</v>
      </c>
      <c r="U207" s="19">
        <v>1908</v>
      </c>
      <c r="V207">
        <v>0</v>
      </c>
      <c r="W207" s="19">
        <v>0</v>
      </c>
      <c r="X207">
        <v>0</v>
      </c>
      <c r="Y207" s="19">
        <v>0</v>
      </c>
      <c r="Z207">
        <v>0</v>
      </c>
      <c r="AA207" s="19">
        <v>0</v>
      </c>
      <c r="AB207">
        <v>0</v>
      </c>
      <c r="AC207" s="19">
        <v>0</v>
      </c>
      <c r="AD207">
        <v>0</v>
      </c>
      <c r="AE207" s="19">
        <v>0</v>
      </c>
      <c r="AF207">
        <v>0</v>
      </c>
      <c r="AG207" s="19">
        <v>0</v>
      </c>
      <c r="AH207">
        <v>1</v>
      </c>
      <c r="AI207" s="19">
        <v>243</v>
      </c>
      <c r="AJ207">
        <v>1</v>
      </c>
      <c r="AK207" s="19">
        <v>121</v>
      </c>
      <c r="AL207">
        <v>1</v>
      </c>
      <c r="AM207" s="19">
        <v>243</v>
      </c>
      <c r="AN207">
        <v>1</v>
      </c>
      <c r="AO207" s="19">
        <v>260</v>
      </c>
      <c r="AP207">
        <v>0</v>
      </c>
      <c r="AQ207" s="19">
        <v>0</v>
      </c>
    </row>
    <row r="208" spans="1:43" x14ac:dyDescent="0.35">
      <c r="A208" s="18">
        <v>45496</v>
      </c>
      <c r="B208" t="s">
        <v>56</v>
      </c>
      <c r="C208" t="s">
        <v>53</v>
      </c>
      <c r="D208">
        <v>5</v>
      </c>
      <c r="E208">
        <v>1</v>
      </c>
      <c r="F208">
        <v>4</v>
      </c>
      <c r="G208" s="19">
        <v>2675</v>
      </c>
      <c r="H208" s="19">
        <v>1459</v>
      </c>
      <c r="I208" s="19">
        <v>1216</v>
      </c>
      <c r="J208" s="19">
        <v>235</v>
      </c>
      <c r="K208" s="19">
        <v>94</v>
      </c>
      <c r="L208" s="19">
        <v>806</v>
      </c>
      <c r="M208" s="19">
        <v>59</v>
      </c>
      <c r="N208" s="19">
        <v>40</v>
      </c>
      <c r="O208" s="19">
        <f t="shared" si="6"/>
        <v>1234</v>
      </c>
      <c r="P208" s="19">
        <f t="shared" si="7"/>
        <v>1441</v>
      </c>
      <c r="Q208" t="s">
        <v>27</v>
      </c>
      <c r="R208" t="s">
        <v>65</v>
      </c>
      <c r="T208">
        <v>0</v>
      </c>
      <c r="U208" s="19">
        <v>0</v>
      </c>
      <c r="V208">
        <v>0</v>
      </c>
      <c r="W208" s="19">
        <v>0</v>
      </c>
      <c r="X208">
        <v>0</v>
      </c>
      <c r="Y208" s="19">
        <v>0</v>
      </c>
      <c r="Z208">
        <v>0</v>
      </c>
      <c r="AA208" s="19">
        <v>0</v>
      </c>
      <c r="AB208">
        <v>1</v>
      </c>
      <c r="AC208" s="19">
        <v>1459</v>
      </c>
      <c r="AD208">
        <v>0</v>
      </c>
      <c r="AE208" s="19">
        <v>0</v>
      </c>
      <c r="AF208">
        <v>0</v>
      </c>
      <c r="AG208" s="19">
        <v>0</v>
      </c>
      <c r="AH208">
        <v>1</v>
      </c>
      <c r="AI208" s="19">
        <v>340</v>
      </c>
      <c r="AJ208">
        <v>1</v>
      </c>
      <c r="AK208" s="19">
        <v>170</v>
      </c>
      <c r="AL208">
        <v>1</v>
      </c>
      <c r="AM208" s="19">
        <v>340</v>
      </c>
      <c r="AN208">
        <v>1</v>
      </c>
      <c r="AO208" s="19">
        <v>365</v>
      </c>
      <c r="AP208">
        <v>0</v>
      </c>
      <c r="AQ208" s="19">
        <v>0</v>
      </c>
    </row>
    <row r="209" spans="1:43" x14ac:dyDescent="0.35">
      <c r="A209" s="18">
        <v>45497</v>
      </c>
      <c r="B209" t="s">
        <v>57</v>
      </c>
      <c r="C209" t="s">
        <v>53</v>
      </c>
      <c r="D209">
        <v>6</v>
      </c>
      <c r="E209">
        <v>1</v>
      </c>
      <c r="F209">
        <v>5</v>
      </c>
      <c r="G209" s="19">
        <v>2981</v>
      </c>
      <c r="H209" s="19">
        <v>1325</v>
      </c>
      <c r="I209" s="19">
        <v>1656</v>
      </c>
      <c r="J209" s="19">
        <v>235</v>
      </c>
      <c r="K209" s="19">
        <v>94</v>
      </c>
      <c r="L209" s="19">
        <v>806</v>
      </c>
      <c r="M209" s="19">
        <v>66</v>
      </c>
      <c r="N209" s="19">
        <v>49</v>
      </c>
      <c r="O209" s="19">
        <f t="shared" si="6"/>
        <v>1250</v>
      </c>
      <c r="P209" s="19">
        <f t="shared" si="7"/>
        <v>1731</v>
      </c>
      <c r="Q209" t="s">
        <v>27</v>
      </c>
      <c r="R209" t="s">
        <v>65</v>
      </c>
      <c r="T209">
        <v>0</v>
      </c>
      <c r="U209" s="19">
        <v>0</v>
      </c>
      <c r="V209">
        <v>0</v>
      </c>
      <c r="W209" s="19">
        <v>0</v>
      </c>
      <c r="X209">
        <v>0</v>
      </c>
      <c r="Y209" s="19">
        <v>0</v>
      </c>
      <c r="Z209">
        <v>0</v>
      </c>
      <c r="AA209" s="19">
        <v>0</v>
      </c>
      <c r="AB209">
        <v>1</v>
      </c>
      <c r="AC209" s="19">
        <v>1325</v>
      </c>
      <c r="AD209">
        <v>0</v>
      </c>
      <c r="AE209" s="19">
        <v>0</v>
      </c>
      <c r="AF209">
        <v>0</v>
      </c>
      <c r="AG209" s="19">
        <v>0</v>
      </c>
      <c r="AH209">
        <v>1</v>
      </c>
      <c r="AI209" s="19">
        <v>309</v>
      </c>
      <c r="AJ209">
        <v>1</v>
      </c>
      <c r="AK209" s="19">
        <v>155</v>
      </c>
      <c r="AL209">
        <v>1</v>
      </c>
      <c r="AM209" s="19">
        <v>309</v>
      </c>
      <c r="AN209">
        <v>1</v>
      </c>
      <c r="AO209" s="19">
        <v>331</v>
      </c>
      <c r="AP209">
        <v>1</v>
      </c>
      <c r="AQ209" s="19">
        <v>552</v>
      </c>
    </row>
    <row r="210" spans="1:43" x14ac:dyDescent="0.35">
      <c r="A210" s="18">
        <v>45498</v>
      </c>
      <c r="B210" t="s">
        <v>58</v>
      </c>
      <c r="C210" t="s">
        <v>53</v>
      </c>
      <c r="D210">
        <v>6</v>
      </c>
      <c r="E210">
        <v>2</v>
      </c>
      <c r="F210">
        <v>4</v>
      </c>
      <c r="G210" s="19">
        <v>3197</v>
      </c>
      <c r="H210" s="19">
        <v>2470</v>
      </c>
      <c r="I210" s="19">
        <v>727</v>
      </c>
      <c r="J210" s="19">
        <v>235</v>
      </c>
      <c r="K210" s="19">
        <v>94</v>
      </c>
      <c r="L210" s="19">
        <v>806</v>
      </c>
      <c r="M210" s="19">
        <v>71</v>
      </c>
      <c r="N210" s="19">
        <v>49</v>
      </c>
      <c r="O210" s="19">
        <f t="shared" si="6"/>
        <v>1255</v>
      </c>
      <c r="P210" s="19">
        <f t="shared" si="7"/>
        <v>1942</v>
      </c>
      <c r="Q210" t="s">
        <v>23</v>
      </c>
      <c r="R210" t="s">
        <v>65</v>
      </c>
      <c r="T210">
        <v>1</v>
      </c>
      <c r="U210" s="19">
        <v>1598</v>
      </c>
      <c r="V210">
        <v>0</v>
      </c>
      <c r="W210" s="19">
        <v>0</v>
      </c>
      <c r="X210">
        <v>0</v>
      </c>
      <c r="Y210" s="19">
        <v>0</v>
      </c>
      <c r="Z210">
        <v>0</v>
      </c>
      <c r="AA210" s="19">
        <v>0</v>
      </c>
      <c r="AB210">
        <v>1</v>
      </c>
      <c r="AC210" s="19">
        <v>872</v>
      </c>
      <c r="AD210">
        <v>0</v>
      </c>
      <c r="AE210" s="19">
        <v>0</v>
      </c>
      <c r="AF210">
        <v>0</v>
      </c>
      <c r="AG210" s="19">
        <v>0</v>
      </c>
      <c r="AH210">
        <v>1</v>
      </c>
      <c r="AI210" s="19">
        <v>203</v>
      </c>
      <c r="AJ210">
        <v>1</v>
      </c>
      <c r="AK210" s="19">
        <v>102</v>
      </c>
      <c r="AL210">
        <v>1</v>
      </c>
      <c r="AM210" s="19">
        <v>203</v>
      </c>
      <c r="AN210">
        <v>1</v>
      </c>
      <c r="AO210" s="19">
        <v>218</v>
      </c>
      <c r="AP210">
        <v>0</v>
      </c>
      <c r="AQ210" s="19">
        <v>0</v>
      </c>
    </row>
    <row r="211" spans="1:43" x14ac:dyDescent="0.35">
      <c r="A211" s="18">
        <v>45499</v>
      </c>
      <c r="B211" t="s">
        <v>59</v>
      </c>
      <c r="C211" t="s">
        <v>53</v>
      </c>
      <c r="D211">
        <v>6</v>
      </c>
      <c r="E211">
        <v>2</v>
      </c>
      <c r="F211">
        <v>4</v>
      </c>
      <c r="G211" s="19">
        <v>3156</v>
      </c>
      <c r="H211" s="19">
        <v>2439</v>
      </c>
      <c r="I211" s="19">
        <v>717</v>
      </c>
      <c r="J211" s="19">
        <v>235</v>
      </c>
      <c r="K211" s="19">
        <v>94</v>
      </c>
      <c r="L211" s="19">
        <v>806</v>
      </c>
      <c r="M211" s="19">
        <v>70</v>
      </c>
      <c r="N211" s="19">
        <v>49</v>
      </c>
      <c r="O211" s="19">
        <f t="shared" si="6"/>
        <v>1254</v>
      </c>
      <c r="P211" s="19">
        <f t="shared" si="7"/>
        <v>1902</v>
      </c>
      <c r="Q211" t="s">
        <v>23</v>
      </c>
      <c r="R211" t="s">
        <v>65</v>
      </c>
      <c r="T211">
        <v>1</v>
      </c>
      <c r="U211" s="19">
        <v>1578</v>
      </c>
      <c r="V211">
        <v>0</v>
      </c>
      <c r="W211" s="19">
        <v>0</v>
      </c>
      <c r="X211">
        <v>0</v>
      </c>
      <c r="Y211" s="19">
        <v>0</v>
      </c>
      <c r="Z211">
        <v>0</v>
      </c>
      <c r="AA211" s="19">
        <v>0</v>
      </c>
      <c r="AB211">
        <v>1</v>
      </c>
      <c r="AC211" s="19">
        <v>861</v>
      </c>
      <c r="AD211">
        <v>0</v>
      </c>
      <c r="AE211" s="19">
        <v>0</v>
      </c>
      <c r="AF211">
        <v>0</v>
      </c>
      <c r="AG211" s="19">
        <v>0</v>
      </c>
      <c r="AH211">
        <v>1</v>
      </c>
      <c r="AI211" s="19">
        <v>201</v>
      </c>
      <c r="AJ211">
        <v>1</v>
      </c>
      <c r="AK211" s="19">
        <v>100</v>
      </c>
      <c r="AL211">
        <v>1</v>
      </c>
      <c r="AM211" s="19">
        <v>201</v>
      </c>
      <c r="AN211">
        <v>1</v>
      </c>
      <c r="AO211" s="19">
        <v>215</v>
      </c>
      <c r="AP211">
        <v>0</v>
      </c>
      <c r="AQ211" s="19">
        <v>0</v>
      </c>
    </row>
    <row r="212" spans="1:43" x14ac:dyDescent="0.35">
      <c r="A212" s="18">
        <v>45500</v>
      </c>
      <c r="B212" t="s">
        <v>60</v>
      </c>
      <c r="C212" t="s">
        <v>61</v>
      </c>
      <c r="D212">
        <v>7</v>
      </c>
      <c r="E212">
        <v>2</v>
      </c>
      <c r="F212">
        <v>5</v>
      </c>
      <c r="G212" s="19">
        <v>3631</v>
      </c>
      <c r="H212" s="19">
        <v>2519</v>
      </c>
      <c r="I212" s="19">
        <v>1112</v>
      </c>
      <c r="J212" s="19">
        <v>235</v>
      </c>
      <c r="K212" s="19">
        <v>94</v>
      </c>
      <c r="L212" s="19">
        <v>806</v>
      </c>
      <c r="M212" s="19">
        <v>80</v>
      </c>
      <c r="N212" s="19">
        <v>57</v>
      </c>
      <c r="O212" s="19">
        <f t="shared" si="6"/>
        <v>1272</v>
      </c>
      <c r="P212" s="19">
        <f t="shared" si="7"/>
        <v>2359</v>
      </c>
      <c r="Q212" t="s">
        <v>23</v>
      </c>
      <c r="R212" t="s">
        <v>65</v>
      </c>
      <c r="T212">
        <v>1</v>
      </c>
      <c r="U212" s="19">
        <v>1630</v>
      </c>
      <c r="V212">
        <v>0</v>
      </c>
      <c r="W212" s="19">
        <v>0</v>
      </c>
      <c r="X212">
        <v>0</v>
      </c>
      <c r="Y212" s="19">
        <v>0</v>
      </c>
      <c r="Z212">
        <v>0</v>
      </c>
      <c r="AA212" s="19">
        <v>0</v>
      </c>
      <c r="AB212">
        <v>1</v>
      </c>
      <c r="AC212" s="19">
        <v>889</v>
      </c>
      <c r="AD212">
        <v>0</v>
      </c>
      <c r="AE212" s="19">
        <v>0</v>
      </c>
      <c r="AF212">
        <v>0</v>
      </c>
      <c r="AG212" s="19">
        <v>0</v>
      </c>
      <c r="AH212">
        <v>1</v>
      </c>
      <c r="AI212" s="19">
        <v>207</v>
      </c>
      <c r="AJ212">
        <v>1</v>
      </c>
      <c r="AK212" s="19">
        <v>104</v>
      </c>
      <c r="AL212">
        <v>1</v>
      </c>
      <c r="AM212" s="19">
        <v>207</v>
      </c>
      <c r="AN212">
        <v>1</v>
      </c>
      <c r="AO212" s="19">
        <v>222</v>
      </c>
      <c r="AP212">
        <v>1</v>
      </c>
      <c r="AQ212" s="19">
        <v>371</v>
      </c>
    </row>
    <row r="213" spans="1:43" x14ac:dyDescent="0.35">
      <c r="A213" s="18">
        <v>45501</v>
      </c>
      <c r="B213" t="s">
        <v>62</v>
      </c>
      <c r="C213" t="s">
        <v>61</v>
      </c>
      <c r="D213">
        <v>7</v>
      </c>
      <c r="E213">
        <v>2</v>
      </c>
      <c r="F213">
        <v>5</v>
      </c>
      <c r="G213" s="19">
        <v>3472</v>
      </c>
      <c r="H213" s="19">
        <v>2409</v>
      </c>
      <c r="I213" s="19">
        <v>1063</v>
      </c>
      <c r="J213" s="19">
        <v>235</v>
      </c>
      <c r="K213" s="19">
        <v>94</v>
      </c>
      <c r="L213" s="19">
        <v>806</v>
      </c>
      <c r="M213" s="19">
        <v>77</v>
      </c>
      <c r="N213" s="19">
        <v>57</v>
      </c>
      <c r="O213" s="19">
        <f t="shared" si="6"/>
        <v>1269</v>
      </c>
      <c r="P213" s="19">
        <f t="shared" si="7"/>
        <v>2203</v>
      </c>
      <c r="Q213" t="s">
        <v>23</v>
      </c>
      <c r="R213" t="s">
        <v>65</v>
      </c>
      <c r="T213">
        <v>1</v>
      </c>
      <c r="U213" s="19">
        <v>1559</v>
      </c>
      <c r="V213">
        <v>0</v>
      </c>
      <c r="W213" s="19">
        <v>0</v>
      </c>
      <c r="X213">
        <v>0</v>
      </c>
      <c r="Y213" s="19">
        <v>0</v>
      </c>
      <c r="Z213">
        <v>0</v>
      </c>
      <c r="AA213" s="19">
        <v>0</v>
      </c>
      <c r="AB213">
        <v>1</v>
      </c>
      <c r="AC213" s="19">
        <v>850</v>
      </c>
      <c r="AD213">
        <v>0</v>
      </c>
      <c r="AE213" s="19">
        <v>0</v>
      </c>
      <c r="AF213">
        <v>0</v>
      </c>
      <c r="AG213" s="19">
        <v>0</v>
      </c>
      <c r="AH213">
        <v>1</v>
      </c>
      <c r="AI213" s="19">
        <v>198</v>
      </c>
      <c r="AJ213">
        <v>1</v>
      </c>
      <c r="AK213" s="19">
        <v>99</v>
      </c>
      <c r="AL213">
        <v>1</v>
      </c>
      <c r="AM213" s="19">
        <v>198</v>
      </c>
      <c r="AN213">
        <v>1</v>
      </c>
      <c r="AO213" s="19">
        <v>213</v>
      </c>
      <c r="AP213">
        <v>1</v>
      </c>
      <c r="AQ213" s="19">
        <v>354</v>
      </c>
    </row>
    <row r="214" spans="1:43" x14ac:dyDescent="0.35">
      <c r="A214" s="18">
        <v>45502</v>
      </c>
      <c r="B214" t="s">
        <v>52</v>
      </c>
      <c r="C214" t="s">
        <v>53</v>
      </c>
      <c r="D214">
        <v>5</v>
      </c>
      <c r="E214">
        <v>0</v>
      </c>
      <c r="F214">
        <v>5</v>
      </c>
      <c r="G214" s="19">
        <v>2780</v>
      </c>
      <c r="H214" s="19">
        <v>0</v>
      </c>
      <c r="I214" s="19">
        <v>2780</v>
      </c>
      <c r="J214" s="19">
        <v>235</v>
      </c>
      <c r="K214" s="19">
        <v>94</v>
      </c>
      <c r="L214" s="19">
        <v>806</v>
      </c>
      <c r="M214" s="19">
        <v>61</v>
      </c>
      <c r="N214" s="19">
        <v>40</v>
      </c>
      <c r="O214" s="19">
        <f t="shared" si="6"/>
        <v>1236</v>
      </c>
      <c r="P214" s="19">
        <f t="shared" si="7"/>
        <v>1544</v>
      </c>
      <c r="Q214" t="s">
        <v>34</v>
      </c>
      <c r="R214" t="s">
        <v>65</v>
      </c>
      <c r="T214">
        <v>0</v>
      </c>
      <c r="U214" s="19">
        <v>0</v>
      </c>
      <c r="V214">
        <v>0</v>
      </c>
      <c r="W214" s="19">
        <v>0</v>
      </c>
      <c r="X214">
        <v>0</v>
      </c>
      <c r="Y214" s="19">
        <v>0</v>
      </c>
      <c r="Z214">
        <v>0</v>
      </c>
      <c r="AA214" s="19">
        <v>0</v>
      </c>
      <c r="AB214">
        <v>0</v>
      </c>
      <c r="AC214" s="19">
        <v>0</v>
      </c>
      <c r="AD214">
        <v>0</v>
      </c>
      <c r="AE214" s="19">
        <v>0</v>
      </c>
      <c r="AF214">
        <v>0</v>
      </c>
      <c r="AG214" s="19">
        <v>0</v>
      </c>
      <c r="AH214">
        <v>1</v>
      </c>
      <c r="AI214" s="19">
        <v>519</v>
      </c>
      <c r="AJ214">
        <v>1</v>
      </c>
      <c r="AK214" s="19">
        <v>259</v>
      </c>
      <c r="AL214">
        <v>1</v>
      </c>
      <c r="AM214" s="19">
        <v>519</v>
      </c>
      <c r="AN214">
        <v>1</v>
      </c>
      <c r="AO214" s="19">
        <v>556</v>
      </c>
      <c r="AP214">
        <v>1</v>
      </c>
      <c r="AQ214" s="19">
        <v>927</v>
      </c>
    </row>
    <row r="215" spans="1:43" x14ac:dyDescent="0.35">
      <c r="A215" s="18">
        <v>45503</v>
      </c>
      <c r="B215" t="s">
        <v>56</v>
      </c>
      <c r="C215" t="s">
        <v>53</v>
      </c>
      <c r="D215">
        <v>5</v>
      </c>
      <c r="E215">
        <v>1</v>
      </c>
      <c r="F215">
        <v>4</v>
      </c>
      <c r="G215" s="19">
        <v>2826</v>
      </c>
      <c r="H215" s="19">
        <v>1943</v>
      </c>
      <c r="I215" s="19">
        <v>883</v>
      </c>
      <c r="J215" s="19">
        <v>235</v>
      </c>
      <c r="K215" s="19">
        <v>94</v>
      </c>
      <c r="L215" s="19">
        <v>806</v>
      </c>
      <c r="M215" s="19">
        <v>62</v>
      </c>
      <c r="N215" s="19">
        <v>40</v>
      </c>
      <c r="O215" s="19">
        <f t="shared" si="6"/>
        <v>1237</v>
      </c>
      <c r="P215" s="19">
        <f t="shared" si="7"/>
        <v>1589</v>
      </c>
      <c r="Q215" t="s">
        <v>23</v>
      </c>
      <c r="R215" t="s">
        <v>65</v>
      </c>
      <c r="T215">
        <v>1</v>
      </c>
      <c r="U215" s="19">
        <v>1943</v>
      </c>
      <c r="V215">
        <v>0</v>
      </c>
      <c r="W215" s="19">
        <v>0</v>
      </c>
      <c r="X215">
        <v>0</v>
      </c>
      <c r="Y215" s="19">
        <v>0</v>
      </c>
      <c r="Z215">
        <v>0</v>
      </c>
      <c r="AA215" s="19">
        <v>0</v>
      </c>
      <c r="AB215">
        <v>0</v>
      </c>
      <c r="AC215" s="19">
        <v>0</v>
      </c>
      <c r="AD215">
        <v>0</v>
      </c>
      <c r="AE215" s="19">
        <v>0</v>
      </c>
      <c r="AF215">
        <v>0</v>
      </c>
      <c r="AG215" s="19">
        <v>0</v>
      </c>
      <c r="AH215">
        <v>1</v>
      </c>
      <c r="AI215" s="19">
        <v>247</v>
      </c>
      <c r="AJ215">
        <v>1</v>
      </c>
      <c r="AK215" s="19">
        <v>124</v>
      </c>
      <c r="AL215">
        <v>1</v>
      </c>
      <c r="AM215" s="19">
        <v>247</v>
      </c>
      <c r="AN215">
        <v>1</v>
      </c>
      <c r="AO215" s="19">
        <v>265</v>
      </c>
      <c r="AP215">
        <v>0</v>
      </c>
      <c r="AQ215" s="19">
        <v>0</v>
      </c>
    </row>
    <row r="216" spans="1:43" x14ac:dyDescent="0.35">
      <c r="A216" s="18">
        <v>45504</v>
      </c>
      <c r="B216" t="s">
        <v>57</v>
      </c>
      <c r="C216" t="s">
        <v>53</v>
      </c>
      <c r="D216">
        <v>5</v>
      </c>
      <c r="E216">
        <v>1</v>
      </c>
      <c r="F216">
        <v>4</v>
      </c>
      <c r="G216" s="19">
        <v>2863</v>
      </c>
      <c r="H216" s="19">
        <v>1968</v>
      </c>
      <c r="I216" s="19">
        <v>895</v>
      </c>
      <c r="J216" s="19">
        <v>235</v>
      </c>
      <c r="K216" s="19">
        <v>94</v>
      </c>
      <c r="L216" s="19">
        <v>806</v>
      </c>
      <c r="M216" s="19">
        <v>63</v>
      </c>
      <c r="N216" s="19">
        <v>40</v>
      </c>
      <c r="O216" s="19">
        <f t="shared" si="6"/>
        <v>1238</v>
      </c>
      <c r="P216" s="19">
        <f t="shared" si="7"/>
        <v>1625</v>
      </c>
      <c r="Q216" t="s">
        <v>23</v>
      </c>
      <c r="R216" t="s">
        <v>65</v>
      </c>
      <c r="T216">
        <v>1</v>
      </c>
      <c r="U216" s="19">
        <v>1968</v>
      </c>
      <c r="V216">
        <v>0</v>
      </c>
      <c r="W216" s="19">
        <v>0</v>
      </c>
      <c r="X216">
        <v>0</v>
      </c>
      <c r="Y216" s="19">
        <v>0</v>
      </c>
      <c r="Z216">
        <v>0</v>
      </c>
      <c r="AA216" s="19">
        <v>0</v>
      </c>
      <c r="AB216">
        <v>0</v>
      </c>
      <c r="AC216" s="19">
        <v>0</v>
      </c>
      <c r="AD216">
        <v>0</v>
      </c>
      <c r="AE216" s="19">
        <v>0</v>
      </c>
      <c r="AF216">
        <v>0</v>
      </c>
      <c r="AG216" s="19">
        <v>0</v>
      </c>
      <c r="AH216">
        <v>1</v>
      </c>
      <c r="AI216" s="19">
        <v>251</v>
      </c>
      <c r="AJ216">
        <v>1</v>
      </c>
      <c r="AK216" s="19">
        <v>125</v>
      </c>
      <c r="AL216">
        <v>1</v>
      </c>
      <c r="AM216" s="19">
        <v>251</v>
      </c>
      <c r="AN216">
        <v>1</v>
      </c>
      <c r="AO216" s="19">
        <v>268</v>
      </c>
      <c r="AP216">
        <v>0</v>
      </c>
      <c r="AQ216" s="19">
        <v>0</v>
      </c>
    </row>
    <row r="217" spans="1:43" x14ac:dyDescent="0.35">
      <c r="A217" s="18">
        <v>45505</v>
      </c>
      <c r="B217" t="s">
        <v>58</v>
      </c>
      <c r="C217" t="s">
        <v>53</v>
      </c>
      <c r="D217">
        <v>6</v>
      </c>
      <c r="E217">
        <v>1</v>
      </c>
      <c r="F217">
        <v>5</v>
      </c>
      <c r="G217" s="19">
        <v>3043</v>
      </c>
      <c r="H217" s="19">
        <v>1352</v>
      </c>
      <c r="I217" s="19">
        <v>1691</v>
      </c>
      <c r="J217" s="19">
        <v>235</v>
      </c>
      <c r="K217" s="19">
        <v>94</v>
      </c>
      <c r="L217" s="19">
        <v>806</v>
      </c>
      <c r="M217" s="19">
        <v>67</v>
      </c>
      <c r="N217" s="19">
        <v>49</v>
      </c>
      <c r="O217" s="19">
        <f t="shared" si="6"/>
        <v>1251</v>
      </c>
      <c r="P217" s="19">
        <f t="shared" si="7"/>
        <v>1792</v>
      </c>
      <c r="Q217" t="s">
        <v>27</v>
      </c>
      <c r="R217" t="s">
        <v>65</v>
      </c>
      <c r="T217">
        <v>0</v>
      </c>
      <c r="U217" s="19">
        <v>0</v>
      </c>
      <c r="V217">
        <v>0</v>
      </c>
      <c r="W217" s="19">
        <v>0</v>
      </c>
      <c r="X217">
        <v>0</v>
      </c>
      <c r="Y217" s="19">
        <v>0</v>
      </c>
      <c r="Z217">
        <v>0</v>
      </c>
      <c r="AA217" s="19">
        <v>0</v>
      </c>
      <c r="AB217">
        <v>1</v>
      </c>
      <c r="AC217" s="19">
        <v>1352</v>
      </c>
      <c r="AD217">
        <v>0</v>
      </c>
      <c r="AE217" s="19">
        <v>0</v>
      </c>
      <c r="AF217">
        <v>0</v>
      </c>
      <c r="AG217" s="19">
        <v>0</v>
      </c>
      <c r="AH217">
        <v>1</v>
      </c>
      <c r="AI217" s="19">
        <v>316</v>
      </c>
      <c r="AJ217">
        <v>1</v>
      </c>
      <c r="AK217" s="19">
        <v>158</v>
      </c>
      <c r="AL217">
        <v>1</v>
      </c>
      <c r="AM217" s="19">
        <v>316</v>
      </c>
      <c r="AN217">
        <v>1</v>
      </c>
      <c r="AO217" s="19">
        <v>338</v>
      </c>
      <c r="AP217">
        <v>1</v>
      </c>
      <c r="AQ217" s="19">
        <v>564</v>
      </c>
    </row>
    <row r="218" spans="1:43" x14ac:dyDescent="0.35">
      <c r="A218" s="18">
        <v>45506</v>
      </c>
      <c r="B218" t="s">
        <v>59</v>
      </c>
      <c r="C218" t="s">
        <v>53</v>
      </c>
      <c r="D218">
        <v>6</v>
      </c>
      <c r="E218">
        <v>2</v>
      </c>
      <c r="F218">
        <v>4</v>
      </c>
      <c r="G218" s="19">
        <v>3186</v>
      </c>
      <c r="H218" s="19">
        <v>2462</v>
      </c>
      <c r="I218" s="19">
        <v>724</v>
      </c>
      <c r="J218" s="19">
        <v>235</v>
      </c>
      <c r="K218" s="19">
        <v>94</v>
      </c>
      <c r="L218" s="19">
        <v>806</v>
      </c>
      <c r="M218" s="19">
        <v>70</v>
      </c>
      <c r="N218" s="19">
        <v>49</v>
      </c>
      <c r="O218" s="19">
        <f t="shared" si="6"/>
        <v>1254</v>
      </c>
      <c r="P218" s="19">
        <f t="shared" si="7"/>
        <v>1932</v>
      </c>
      <c r="Q218" t="s">
        <v>23</v>
      </c>
      <c r="R218" t="s">
        <v>65</v>
      </c>
      <c r="T218">
        <v>1</v>
      </c>
      <c r="U218" s="19">
        <v>1593</v>
      </c>
      <c r="V218">
        <v>0</v>
      </c>
      <c r="W218" s="19">
        <v>0</v>
      </c>
      <c r="X218">
        <v>0</v>
      </c>
      <c r="Y218" s="19">
        <v>0</v>
      </c>
      <c r="Z218">
        <v>0</v>
      </c>
      <c r="AA218" s="19">
        <v>0</v>
      </c>
      <c r="AB218">
        <v>1</v>
      </c>
      <c r="AC218" s="19">
        <v>869</v>
      </c>
      <c r="AD218">
        <v>0</v>
      </c>
      <c r="AE218" s="19">
        <v>0</v>
      </c>
      <c r="AF218">
        <v>0</v>
      </c>
      <c r="AG218" s="19">
        <v>0</v>
      </c>
      <c r="AH218">
        <v>1</v>
      </c>
      <c r="AI218" s="19">
        <v>203</v>
      </c>
      <c r="AJ218">
        <v>1</v>
      </c>
      <c r="AK218" s="19">
        <v>101</v>
      </c>
      <c r="AL218">
        <v>1</v>
      </c>
      <c r="AM218" s="19">
        <v>203</v>
      </c>
      <c r="AN218">
        <v>1</v>
      </c>
      <c r="AO218" s="19">
        <v>217</v>
      </c>
      <c r="AP218">
        <v>0</v>
      </c>
      <c r="AQ218" s="19">
        <v>0</v>
      </c>
    </row>
    <row r="219" spans="1:43" x14ac:dyDescent="0.35">
      <c r="A219" s="18">
        <v>45507</v>
      </c>
      <c r="B219" t="s">
        <v>60</v>
      </c>
      <c r="C219" t="s">
        <v>61</v>
      </c>
      <c r="D219">
        <v>8</v>
      </c>
      <c r="E219">
        <v>3</v>
      </c>
      <c r="F219">
        <v>5</v>
      </c>
      <c r="G219" s="19">
        <v>4210</v>
      </c>
      <c r="H219" s="19">
        <v>3238</v>
      </c>
      <c r="I219" s="19">
        <v>972</v>
      </c>
      <c r="J219" s="19">
        <v>235</v>
      </c>
      <c r="K219" s="19">
        <v>94</v>
      </c>
      <c r="L219" s="19">
        <v>806</v>
      </c>
      <c r="M219" s="19">
        <v>93</v>
      </c>
      <c r="N219" s="19">
        <v>65</v>
      </c>
      <c r="O219" s="19">
        <f t="shared" si="6"/>
        <v>1293</v>
      </c>
      <c r="P219" s="19">
        <f t="shared" si="7"/>
        <v>2917</v>
      </c>
      <c r="Q219" t="s">
        <v>23</v>
      </c>
      <c r="R219" t="s">
        <v>65</v>
      </c>
      <c r="T219">
        <v>1</v>
      </c>
      <c r="U219" s="19">
        <v>1425</v>
      </c>
      <c r="V219">
        <v>0</v>
      </c>
      <c r="W219" s="19">
        <v>0</v>
      </c>
      <c r="X219">
        <v>0</v>
      </c>
      <c r="Y219" s="19">
        <v>0</v>
      </c>
      <c r="Z219">
        <v>1</v>
      </c>
      <c r="AA219" s="19">
        <v>1036</v>
      </c>
      <c r="AB219">
        <v>1</v>
      </c>
      <c r="AC219" s="19">
        <v>777</v>
      </c>
      <c r="AD219">
        <v>0</v>
      </c>
      <c r="AE219" s="19">
        <v>0</v>
      </c>
      <c r="AF219">
        <v>0</v>
      </c>
      <c r="AG219" s="19">
        <v>0</v>
      </c>
      <c r="AH219">
        <v>1</v>
      </c>
      <c r="AI219" s="19">
        <v>181</v>
      </c>
      <c r="AJ219">
        <v>1</v>
      </c>
      <c r="AK219" s="19">
        <v>91</v>
      </c>
      <c r="AL219">
        <v>1</v>
      </c>
      <c r="AM219" s="19">
        <v>181</v>
      </c>
      <c r="AN219">
        <v>1</v>
      </c>
      <c r="AO219" s="19">
        <v>194</v>
      </c>
      <c r="AP219">
        <v>1</v>
      </c>
      <c r="AQ219" s="19">
        <v>324</v>
      </c>
    </row>
    <row r="220" spans="1:43" x14ac:dyDescent="0.35">
      <c r="A220" s="18">
        <v>45508</v>
      </c>
      <c r="B220" t="s">
        <v>62</v>
      </c>
      <c r="C220" t="s">
        <v>61</v>
      </c>
      <c r="D220">
        <v>7</v>
      </c>
      <c r="E220">
        <v>2</v>
      </c>
      <c r="F220">
        <v>5</v>
      </c>
      <c r="G220" s="19">
        <v>3479</v>
      </c>
      <c r="H220" s="19">
        <v>2414</v>
      </c>
      <c r="I220" s="19">
        <v>1065</v>
      </c>
      <c r="J220" s="19">
        <v>235</v>
      </c>
      <c r="K220" s="19">
        <v>94</v>
      </c>
      <c r="L220" s="19">
        <v>806</v>
      </c>
      <c r="M220" s="19">
        <v>77</v>
      </c>
      <c r="N220" s="19">
        <v>57</v>
      </c>
      <c r="O220" s="19">
        <f t="shared" si="6"/>
        <v>1269</v>
      </c>
      <c r="P220" s="19">
        <f t="shared" si="7"/>
        <v>2210</v>
      </c>
      <c r="Q220" t="s">
        <v>23</v>
      </c>
      <c r="R220" t="s">
        <v>65</v>
      </c>
      <c r="T220">
        <v>1</v>
      </c>
      <c r="U220" s="19">
        <v>1562</v>
      </c>
      <c r="V220">
        <v>0</v>
      </c>
      <c r="W220" s="19">
        <v>0</v>
      </c>
      <c r="X220">
        <v>0</v>
      </c>
      <c r="Y220" s="19">
        <v>0</v>
      </c>
      <c r="Z220">
        <v>0</v>
      </c>
      <c r="AA220" s="19">
        <v>0</v>
      </c>
      <c r="AB220">
        <v>1</v>
      </c>
      <c r="AC220" s="19">
        <v>852</v>
      </c>
      <c r="AD220">
        <v>0</v>
      </c>
      <c r="AE220" s="19">
        <v>0</v>
      </c>
      <c r="AF220">
        <v>0</v>
      </c>
      <c r="AG220" s="19">
        <v>0</v>
      </c>
      <c r="AH220">
        <v>1</v>
      </c>
      <c r="AI220" s="19">
        <v>199</v>
      </c>
      <c r="AJ220">
        <v>1</v>
      </c>
      <c r="AK220" s="19">
        <v>99</v>
      </c>
      <c r="AL220">
        <v>1</v>
      </c>
      <c r="AM220" s="19">
        <v>199</v>
      </c>
      <c r="AN220">
        <v>1</v>
      </c>
      <c r="AO220" s="19">
        <v>213</v>
      </c>
      <c r="AP220">
        <v>1</v>
      </c>
      <c r="AQ220" s="19">
        <v>355</v>
      </c>
    </row>
    <row r="221" spans="1:43" x14ac:dyDescent="0.35">
      <c r="A221" s="18">
        <v>45509</v>
      </c>
      <c r="B221" t="s">
        <v>52</v>
      </c>
      <c r="C221" t="s">
        <v>53</v>
      </c>
      <c r="D221">
        <v>5</v>
      </c>
      <c r="E221">
        <v>1</v>
      </c>
      <c r="F221">
        <v>4</v>
      </c>
      <c r="G221" s="19">
        <v>2736</v>
      </c>
      <c r="H221" s="19">
        <v>1881</v>
      </c>
      <c r="I221" s="19">
        <v>855</v>
      </c>
      <c r="J221" s="19">
        <v>235</v>
      </c>
      <c r="K221" s="19">
        <v>94</v>
      </c>
      <c r="L221" s="19">
        <v>806</v>
      </c>
      <c r="M221" s="19">
        <v>60</v>
      </c>
      <c r="N221" s="19">
        <v>40</v>
      </c>
      <c r="O221" s="19">
        <f t="shared" si="6"/>
        <v>1235</v>
      </c>
      <c r="P221" s="19">
        <f t="shared" si="7"/>
        <v>1501</v>
      </c>
      <c r="Q221" t="s">
        <v>23</v>
      </c>
      <c r="R221" t="s">
        <v>65</v>
      </c>
      <c r="T221">
        <v>1</v>
      </c>
      <c r="U221" s="19">
        <v>1881</v>
      </c>
      <c r="V221">
        <v>0</v>
      </c>
      <c r="W221" s="19">
        <v>0</v>
      </c>
      <c r="X221">
        <v>0</v>
      </c>
      <c r="Y221" s="19">
        <v>0</v>
      </c>
      <c r="Z221">
        <v>0</v>
      </c>
      <c r="AA221" s="19">
        <v>0</v>
      </c>
      <c r="AB221">
        <v>0</v>
      </c>
      <c r="AC221" s="19">
        <v>0</v>
      </c>
      <c r="AD221">
        <v>0</v>
      </c>
      <c r="AE221" s="19">
        <v>0</v>
      </c>
      <c r="AF221">
        <v>0</v>
      </c>
      <c r="AG221" s="19">
        <v>0</v>
      </c>
      <c r="AH221">
        <v>1</v>
      </c>
      <c r="AI221" s="19">
        <v>239</v>
      </c>
      <c r="AJ221">
        <v>1</v>
      </c>
      <c r="AK221" s="19">
        <v>120</v>
      </c>
      <c r="AL221">
        <v>1</v>
      </c>
      <c r="AM221" s="19">
        <v>239</v>
      </c>
      <c r="AN221">
        <v>1</v>
      </c>
      <c r="AO221" s="19">
        <v>256</v>
      </c>
      <c r="AP221">
        <v>0</v>
      </c>
      <c r="AQ221" s="19">
        <v>0</v>
      </c>
    </row>
    <row r="222" spans="1:43" x14ac:dyDescent="0.35">
      <c r="A222" s="18">
        <v>45510</v>
      </c>
      <c r="B222" t="s">
        <v>56</v>
      </c>
      <c r="C222" t="s">
        <v>53</v>
      </c>
      <c r="D222">
        <v>5</v>
      </c>
      <c r="E222">
        <v>1</v>
      </c>
      <c r="F222">
        <v>4</v>
      </c>
      <c r="G222" s="19">
        <v>2839</v>
      </c>
      <c r="H222" s="19">
        <v>1549</v>
      </c>
      <c r="I222" s="19">
        <v>1290</v>
      </c>
      <c r="J222" s="19">
        <v>235</v>
      </c>
      <c r="K222" s="19">
        <v>94</v>
      </c>
      <c r="L222" s="19">
        <v>806</v>
      </c>
      <c r="M222" s="19">
        <v>63</v>
      </c>
      <c r="N222" s="19">
        <v>40</v>
      </c>
      <c r="O222" s="19">
        <f t="shared" si="6"/>
        <v>1238</v>
      </c>
      <c r="P222" s="19">
        <f t="shared" si="7"/>
        <v>1601</v>
      </c>
      <c r="Q222" t="s">
        <v>27</v>
      </c>
      <c r="R222" t="s">
        <v>65</v>
      </c>
      <c r="T222">
        <v>0</v>
      </c>
      <c r="U222" s="19">
        <v>0</v>
      </c>
      <c r="V222">
        <v>0</v>
      </c>
      <c r="W222" s="19">
        <v>0</v>
      </c>
      <c r="X222">
        <v>0</v>
      </c>
      <c r="Y222" s="19">
        <v>0</v>
      </c>
      <c r="Z222">
        <v>0</v>
      </c>
      <c r="AA222" s="19">
        <v>0</v>
      </c>
      <c r="AB222">
        <v>1</v>
      </c>
      <c r="AC222" s="19">
        <v>1549</v>
      </c>
      <c r="AD222">
        <v>0</v>
      </c>
      <c r="AE222" s="19">
        <v>0</v>
      </c>
      <c r="AF222">
        <v>0</v>
      </c>
      <c r="AG222" s="19">
        <v>0</v>
      </c>
      <c r="AH222">
        <v>1</v>
      </c>
      <c r="AI222" s="19">
        <v>361</v>
      </c>
      <c r="AJ222">
        <v>1</v>
      </c>
      <c r="AK222" s="19">
        <v>181</v>
      </c>
      <c r="AL222">
        <v>1</v>
      </c>
      <c r="AM222" s="19">
        <v>361</v>
      </c>
      <c r="AN222">
        <v>1</v>
      </c>
      <c r="AO222" s="19">
        <v>387</v>
      </c>
      <c r="AP222">
        <v>0</v>
      </c>
      <c r="AQ222" s="19">
        <v>0</v>
      </c>
    </row>
    <row r="223" spans="1:43" x14ac:dyDescent="0.35">
      <c r="A223" s="18">
        <v>45511</v>
      </c>
      <c r="B223" t="s">
        <v>57</v>
      </c>
      <c r="C223" t="s">
        <v>53</v>
      </c>
      <c r="D223">
        <v>5</v>
      </c>
      <c r="E223">
        <v>1</v>
      </c>
      <c r="F223">
        <v>4</v>
      </c>
      <c r="G223" s="19">
        <v>2986</v>
      </c>
      <c r="H223" s="19">
        <v>2053</v>
      </c>
      <c r="I223" s="19">
        <v>933</v>
      </c>
      <c r="J223" s="19">
        <v>235</v>
      </c>
      <c r="K223" s="19">
        <v>94</v>
      </c>
      <c r="L223" s="19">
        <v>806</v>
      </c>
      <c r="M223" s="19">
        <v>66</v>
      </c>
      <c r="N223" s="19">
        <v>40</v>
      </c>
      <c r="O223" s="19">
        <f t="shared" si="6"/>
        <v>1241</v>
      </c>
      <c r="P223" s="19">
        <f t="shared" si="7"/>
        <v>1745</v>
      </c>
      <c r="Q223" t="s">
        <v>23</v>
      </c>
      <c r="R223" t="s">
        <v>65</v>
      </c>
      <c r="T223">
        <v>1</v>
      </c>
      <c r="U223" s="19">
        <v>2053</v>
      </c>
      <c r="V223">
        <v>0</v>
      </c>
      <c r="W223" s="19">
        <v>0</v>
      </c>
      <c r="X223">
        <v>0</v>
      </c>
      <c r="Y223" s="19">
        <v>0</v>
      </c>
      <c r="Z223">
        <v>0</v>
      </c>
      <c r="AA223" s="19">
        <v>0</v>
      </c>
      <c r="AB223">
        <v>0</v>
      </c>
      <c r="AC223" s="19">
        <v>0</v>
      </c>
      <c r="AD223">
        <v>0</v>
      </c>
      <c r="AE223" s="19">
        <v>0</v>
      </c>
      <c r="AF223">
        <v>0</v>
      </c>
      <c r="AG223" s="19">
        <v>0</v>
      </c>
      <c r="AH223">
        <v>1</v>
      </c>
      <c r="AI223" s="19">
        <v>261</v>
      </c>
      <c r="AJ223">
        <v>1</v>
      </c>
      <c r="AK223" s="19">
        <v>131</v>
      </c>
      <c r="AL223">
        <v>1</v>
      </c>
      <c r="AM223" s="19">
        <v>261</v>
      </c>
      <c r="AN223">
        <v>1</v>
      </c>
      <c r="AO223" s="19">
        <v>280</v>
      </c>
      <c r="AP223">
        <v>0</v>
      </c>
      <c r="AQ223" s="19">
        <v>0</v>
      </c>
    </row>
    <row r="224" spans="1:43" x14ac:dyDescent="0.35">
      <c r="A224" s="18">
        <v>45512</v>
      </c>
      <c r="B224" t="s">
        <v>58</v>
      </c>
      <c r="C224" t="s">
        <v>53</v>
      </c>
      <c r="D224">
        <v>6</v>
      </c>
      <c r="E224">
        <v>2</v>
      </c>
      <c r="F224">
        <v>4</v>
      </c>
      <c r="G224" s="19">
        <v>3129</v>
      </c>
      <c r="H224" s="19">
        <v>2418</v>
      </c>
      <c r="I224" s="19">
        <v>711</v>
      </c>
      <c r="J224" s="19">
        <v>235</v>
      </c>
      <c r="K224" s="19">
        <v>94</v>
      </c>
      <c r="L224" s="19">
        <v>806</v>
      </c>
      <c r="M224" s="19">
        <v>69</v>
      </c>
      <c r="N224" s="19">
        <v>49</v>
      </c>
      <c r="O224" s="19">
        <f t="shared" si="6"/>
        <v>1253</v>
      </c>
      <c r="P224" s="19">
        <f t="shared" si="7"/>
        <v>1876</v>
      </c>
      <c r="Q224" t="s">
        <v>23</v>
      </c>
      <c r="R224" t="s">
        <v>65</v>
      </c>
      <c r="T224">
        <v>1</v>
      </c>
      <c r="U224" s="19">
        <v>1564</v>
      </c>
      <c r="V224">
        <v>0</v>
      </c>
      <c r="W224" s="19">
        <v>0</v>
      </c>
      <c r="X224">
        <v>0</v>
      </c>
      <c r="Y224" s="19">
        <v>0</v>
      </c>
      <c r="Z224">
        <v>0</v>
      </c>
      <c r="AA224" s="19">
        <v>0</v>
      </c>
      <c r="AB224">
        <v>1</v>
      </c>
      <c r="AC224" s="19">
        <v>853</v>
      </c>
      <c r="AD224">
        <v>0</v>
      </c>
      <c r="AE224" s="19">
        <v>0</v>
      </c>
      <c r="AF224">
        <v>0</v>
      </c>
      <c r="AG224" s="19">
        <v>0</v>
      </c>
      <c r="AH224">
        <v>1</v>
      </c>
      <c r="AI224" s="19">
        <v>199</v>
      </c>
      <c r="AJ224">
        <v>1</v>
      </c>
      <c r="AK224" s="19">
        <v>100</v>
      </c>
      <c r="AL224">
        <v>1</v>
      </c>
      <c r="AM224" s="19">
        <v>199</v>
      </c>
      <c r="AN224">
        <v>1</v>
      </c>
      <c r="AO224" s="19">
        <v>213</v>
      </c>
      <c r="AP224">
        <v>0</v>
      </c>
      <c r="AQ224" s="19">
        <v>0</v>
      </c>
    </row>
    <row r="225" spans="1:43" x14ac:dyDescent="0.35">
      <c r="A225" s="18">
        <v>45513</v>
      </c>
      <c r="B225" t="s">
        <v>59</v>
      </c>
      <c r="C225" t="s">
        <v>53</v>
      </c>
      <c r="D225">
        <v>6</v>
      </c>
      <c r="E225">
        <v>1</v>
      </c>
      <c r="F225">
        <v>5</v>
      </c>
      <c r="G225" s="19">
        <v>3385</v>
      </c>
      <c r="H225" s="19">
        <v>2013</v>
      </c>
      <c r="I225" s="19">
        <v>1372</v>
      </c>
      <c r="J225" s="19">
        <v>235</v>
      </c>
      <c r="K225" s="19">
        <v>94</v>
      </c>
      <c r="L225" s="19">
        <v>806</v>
      </c>
      <c r="M225" s="19">
        <v>75</v>
      </c>
      <c r="N225" s="19">
        <v>49</v>
      </c>
      <c r="O225" s="19">
        <f t="shared" si="6"/>
        <v>1259</v>
      </c>
      <c r="P225" s="19">
        <f t="shared" si="7"/>
        <v>2126</v>
      </c>
      <c r="Q225" t="s">
        <v>23</v>
      </c>
      <c r="R225" t="s">
        <v>65</v>
      </c>
      <c r="T225">
        <v>1</v>
      </c>
      <c r="U225" s="19">
        <v>2013</v>
      </c>
      <c r="V225">
        <v>0</v>
      </c>
      <c r="W225" s="19">
        <v>0</v>
      </c>
      <c r="X225">
        <v>0</v>
      </c>
      <c r="Y225" s="19">
        <v>0</v>
      </c>
      <c r="Z225">
        <v>0</v>
      </c>
      <c r="AA225" s="19">
        <v>0</v>
      </c>
      <c r="AB225">
        <v>0</v>
      </c>
      <c r="AC225" s="19">
        <v>0</v>
      </c>
      <c r="AD225">
        <v>0</v>
      </c>
      <c r="AE225" s="19">
        <v>0</v>
      </c>
      <c r="AF225">
        <v>0</v>
      </c>
      <c r="AG225" s="19">
        <v>0</v>
      </c>
      <c r="AH225">
        <v>1</v>
      </c>
      <c r="AI225" s="19">
        <v>256</v>
      </c>
      <c r="AJ225">
        <v>1</v>
      </c>
      <c r="AK225" s="19">
        <v>128</v>
      </c>
      <c r="AL225">
        <v>1</v>
      </c>
      <c r="AM225" s="19">
        <v>256</v>
      </c>
      <c r="AN225">
        <v>1</v>
      </c>
      <c r="AO225" s="19">
        <v>274</v>
      </c>
      <c r="AP225">
        <v>1</v>
      </c>
      <c r="AQ225" s="19">
        <v>457</v>
      </c>
    </row>
    <row r="226" spans="1:43" x14ac:dyDescent="0.35">
      <c r="A226" s="18">
        <v>45514</v>
      </c>
      <c r="B226" t="s">
        <v>60</v>
      </c>
      <c r="C226" t="s">
        <v>61</v>
      </c>
      <c r="D226">
        <v>8</v>
      </c>
      <c r="E226">
        <v>3</v>
      </c>
      <c r="F226">
        <v>5</v>
      </c>
      <c r="G226" s="19">
        <v>4165</v>
      </c>
      <c r="H226" s="19">
        <v>3204</v>
      </c>
      <c r="I226" s="19">
        <v>961</v>
      </c>
      <c r="J226" s="19">
        <v>235</v>
      </c>
      <c r="K226" s="19">
        <v>94</v>
      </c>
      <c r="L226" s="19">
        <v>806</v>
      </c>
      <c r="M226" s="19">
        <v>92</v>
      </c>
      <c r="N226" s="19">
        <v>65</v>
      </c>
      <c r="O226" s="19">
        <f t="shared" si="6"/>
        <v>1292</v>
      </c>
      <c r="P226" s="19">
        <f t="shared" si="7"/>
        <v>2873</v>
      </c>
      <c r="Q226" t="s">
        <v>23</v>
      </c>
      <c r="R226" t="s">
        <v>65</v>
      </c>
      <c r="T226">
        <v>1</v>
      </c>
      <c r="U226" s="19">
        <v>1410</v>
      </c>
      <c r="V226">
        <v>0</v>
      </c>
      <c r="W226" s="19">
        <v>0</v>
      </c>
      <c r="X226">
        <v>0</v>
      </c>
      <c r="Y226" s="19">
        <v>0</v>
      </c>
      <c r="Z226">
        <v>1</v>
      </c>
      <c r="AA226" s="19">
        <v>1025</v>
      </c>
      <c r="AB226">
        <v>1</v>
      </c>
      <c r="AC226" s="19">
        <v>769</v>
      </c>
      <c r="AD226">
        <v>0</v>
      </c>
      <c r="AE226" s="19">
        <v>0</v>
      </c>
      <c r="AF226">
        <v>0</v>
      </c>
      <c r="AG226" s="19">
        <v>0</v>
      </c>
      <c r="AH226">
        <v>1</v>
      </c>
      <c r="AI226" s="19">
        <v>179</v>
      </c>
      <c r="AJ226">
        <v>1</v>
      </c>
      <c r="AK226" s="19">
        <v>90</v>
      </c>
      <c r="AL226">
        <v>1</v>
      </c>
      <c r="AM226" s="19">
        <v>179</v>
      </c>
      <c r="AN226">
        <v>1</v>
      </c>
      <c r="AO226" s="19">
        <v>192</v>
      </c>
      <c r="AP226">
        <v>1</v>
      </c>
      <c r="AQ226" s="19">
        <v>320</v>
      </c>
    </row>
    <row r="227" spans="1:43" x14ac:dyDescent="0.35">
      <c r="A227" s="18">
        <v>45515</v>
      </c>
      <c r="B227" t="s">
        <v>62</v>
      </c>
      <c r="C227" t="s">
        <v>61</v>
      </c>
      <c r="D227">
        <v>7</v>
      </c>
      <c r="E227">
        <v>2</v>
      </c>
      <c r="F227">
        <v>5</v>
      </c>
      <c r="G227" s="19">
        <v>3928</v>
      </c>
      <c r="H227" s="19">
        <v>2726</v>
      </c>
      <c r="I227" s="19">
        <v>1202</v>
      </c>
      <c r="J227" s="19">
        <v>235</v>
      </c>
      <c r="K227" s="19">
        <v>94</v>
      </c>
      <c r="L227" s="19">
        <v>806</v>
      </c>
      <c r="M227" s="19">
        <v>87</v>
      </c>
      <c r="N227" s="19">
        <v>57</v>
      </c>
      <c r="O227" s="19">
        <f t="shared" si="6"/>
        <v>1279</v>
      </c>
      <c r="P227" s="19">
        <f t="shared" si="7"/>
        <v>2649</v>
      </c>
      <c r="Q227" t="s">
        <v>23</v>
      </c>
      <c r="R227" t="s">
        <v>65</v>
      </c>
      <c r="T227">
        <v>1</v>
      </c>
      <c r="U227" s="19">
        <v>1764</v>
      </c>
      <c r="V227">
        <v>0</v>
      </c>
      <c r="W227" s="19">
        <v>0</v>
      </c>
      <c r="X227">
        <v>0</v>
      </c>
      <c r="Y227" s="19">
        <v>0</v>
      </c>
      <c r="Z227">
        <v>0</v>
      </c>
      <c r="AA227" s="19">
        <v>0</v>
      </c>
      <c r="AB227">
        <v>1</v>
      </c>
      <c r="AC227" s="19">
        <v>962</v>
      </c>
      <c r="AD227">
        <v>0</v>
      </c>
      <c r="AE227" s="19">
        <v>0</v>
      </c>
      <c r="AF227">
        <v>0</v>
      </c>
      <c r="AG227" s="19">
        <v>0</v>
      </c>
      <c r="AH227">
        <v>1</v>
      </c>
      <c r="AI227" s="19">
        <v>224</v>
      </c>
      <c r="AJ227">
        <v>1</v>
      </c>
      <c r="AK227" s="19">
        <v>112</v>
      </c>
      <c r="AL227">
        <v>1</v>
      </c>
      <c r="AM227" s="19">
        <v>224</v>
      </c>
      <c r="AN227">
        <v>1</v>
      </c>
      <c r="AO227" s="19">
        <v>240</v>
      </c>
      <c r="AP227">
        <v>1</v>
      </c>
      <c r="AQ227" s="19">
        <v>401</v>
      </c>
    </row>
    <row r="228" spans="1:43" x14ac:dyDescent="0.35">
      <c r="A228" s="18">
        <v>45516</v>
      </c>
      <c r="B228" t="s">
        <v>52</v>
      </c>
      <c r="C228" t="s">
        <v>53</v>
      </c>
      <c r="D228">
        <v>5</v>
      </c>
      <c r="E228">
        <v>1</v>
      </c>
      <c r="F228">
        <v>4</v>
      </c>
      <c r="G228" s="19">
        <v>2876</v>
      </c>
      <c r="H228" s="19">
        <v>1977</v>
      </c>
      <c r="I228" s="19">
        <v>899</v>
      </c>
      <c r="J228" s="19">
        <v>235</v>
      </c>
      <c r="K228" s="19">
        <v>94</v>
      </c>
      <c r="L228" s="19">
        <v>806</v>
      </c>
      <c r="M228" s="19">
        <v>63</v>
      </c>
      <c r="N228" s="19">
        <v>40</v>
      </c>
      <c r="O228" s="19">
        <f t="shared" si="6"/>
        <v>1238</v>
      </c>
      <c r="P228" s="19">
        <f t="shared" si="7"/>
        <v>1638</v>
      </c>
      <c r="Q228" t="s">
        <v>23</v>
      </c>
      <c r="R228" t="s">
        <v>65</v>
      </c>
      <c r="T228">
        <v>1</v>
      </c>
      <c r="U228" s="19">
        <v>1977</v>
      </c>
      <c r="V228">
        <v>0</v>
      </c>
      <c r="W228" s="19">
        <v>0</v>
      </c>
      <c r="X228">
        <v>0</v>
      </c>
      <c r="Y228" s="19">
        <v>0</v>
      </c>
      <c r="Z228">
        <v>0</v>
      </c>
      <c r="AA228" s="19">
        <v>0</v>
      </c>
      <c r="AB228">
        <v>0</v>
      </c>
      <c r="AC228" s="19">
        <v>0</v>
      </c>
      <c r="AD228">
        <v>0</v>
      </c>
      <c r="AE228" s="19">
        <v>0</v>
      </c>
      <c r="AF228">
        <v>0</v>
      </c>
      <c r="AG228" s="19">
        <v>0</v>
      </c>
      <c r="AH228">
        <v>1</v>
      </c>
      <c r="AI228" s="19">
        <v>252</v>
      </c>
      <c r="AJ228">
        <v>1</v>
      </c>
      <c r="AK228" s="19">
        <v>126</v>
      </c>
      <c r="AL228">
        <v>1</v>
      </c>
      <c r="AM228" s="19">
        <v>252</v>
      </c>
      <c r="AN228">
        <v>1</v>
      </c>
      <c r="AO228" s="19">
        <v>270</v>
      </c>
      <c r="AP228">
        <v>0</v>
      </c>
      <c r="AQ228" s="19">
        <v>0</v>
      </c>
    </row>
    <row r="229" spans="1:43" x14ac:dyDescent="0.35">
      <c r="A229" s="18">
        <v>45517</v>
      </c>
      <c r="B229" t="s">
        <v>56</v>
      </c>
      <c r="C229" t="s">
        <v>53</v>
      </c>
      <c r="D229">
        <v>6</v>
      </c>
      <c r="E229">
        <v>2</v>
      </c>
      <c r="F229">
        <v>4</v>
      </c>
      <c r="G229" s="19">
        <v>3054</v>
      </c>
      <c r="H229" s="19">
        <v>2360</v>
      </c>
      <c r="I229" s="19">
        <v>694</v>
      </c>
      <c r="J229" s="19">
        <v>235</v>
      </c>
      <c r="K229" s="19">
        <v>94</v>
      </c>
      <c r="L229" s="19">
        <v>806</v>
      </c>
      <c r="M229" s="19">
        <v>67</v>
      </c>
      <c r="N229" s="19">
        <v>49</v>
      </c>
      <c r="O229" s="19">
        <f t="shared" si="6"/>
        <v>1251</v>
      </c>
      <c r="P229" s="19">
        <f t="shared" si="7"/>
        <v>1803</v>
      </c>
      <c r="Q229" t="s">
        <v>23</v>
      </c>
      <c r="R229" t="s">
        <v>65</v>
      </c>
      <c r="T229">
        <v>1</v>
      </c>
      <c r="U229" s="19">
        <v>1527</v>
      </c>
      <c r="V229">
        <v>0</v>
      </c>
      <c r="W229" s="19">
        <v>0</v>
      </c>
      <c r="X229">
        <v>0</v>
      </c>
      <c r="Y229" s="19">
        <v>0</v>
      </c>
      <c r="Z229">
        <v>0</v>
      </c>
      <c r="AA229" s="19">
        <v>0</v>
      </c>
      <c r="AB229">
        <v>1</v>
      </c>
      <c r="AC229" s="19">
        <v>833</v>
      </c>
      <c r="AD229">
        <v>0</v>
      </c>
      <c r="AE229" s="19">
        <v>0</v>
      </c>
      <c r="AF229">
        <v>0</v>
      </c>
      <c r="AG229" s="19">
        <v>0</v>
      </c>
      <c r="AH229">
        <v>1</v>
      </c>
      <c r="AI229" s="19">
        <v>194</v>
      </c>
      <c r="AJ229">
        <v>1</v>
      </c>
      <c r="AK229" s="19">
        <v>97</v>
      </c>
      <c r="AL229">
        <v>1</v>
      </c>
      <c r="AM229" s="19">
        <v>194</v>
      </c>
      <c r="AN229">
        <v>1</v>
      </c>
      <c r="AO229" s="19">
        <v>208</v>
      </c>
      <c r="AP229">
        <v>0</v>
      </c>
      <c r="AQ229" s="19">
        <v>0</v>
      </c>
    </row>
    <row r="230" spans="1:43" x14ac:dyDescent="0.35">
      <c r="A230" s="18">
        <v>45518</v>
      </c>
      <c r="B230" t="s">
        <v>57</v>
      </c>
      <c r="C230" t="s">
        <v>53</v>
      </c>
      <c r="D230">
        <v>6</v>
      </c>
      <c r="E230">
        <v>1</v>
      </c>
      <c r="F230">
        <v>5</v>
      </c>
      <c r="G230" s="19">
        <v>3247</v>
      </c>
      <c r="H230" s="19">
        <v>1443</v>
      </c>
      <c r="I230" s="19">
        <v>1804</v>
      </c>
      <c r="J230" s="19">
        <v>235</v>
      </c>
      <c r="K230" s="19">
        <v>94</v>
      </c>
      <c r="L230" s="19">
        <v>806</v>
      </c>
      <c r="M230" s="19">
        <v>72</v>
      </c>
      <c r="N230" s="19">
        <v>49</v>
      </c>
      <c r="O230" s="19">
        <f t="shared" si="6"/>
        <v>1256</v>
      </c>
      <c r="P230" s="19">
        <f t="shared" si="7"/>
        <v>1991</v>
      </c>
      <c r="Q230" t="s">
        <v>27</v>
      </c>
      <c r="R230" t="s">
        <v>65</v>
      </c>
      <c r="T230">
        <v>0</v>
      </c>
      <c r="U230" s="19">
        <v>0</v>
      </c>
      <c r="V230">
        <v>0</v>
      </c>
      <c r="W230" s="19">
        <v>0</v>
      </c>
      <c r="X230">
        <v>0</v>
      </c>
      <c r="Y230" s="19">
        <v>0</v>
      </c>
      <c r="Z230">
        <v>0</v>
      </c>
      <c r="AA230" s="19">
        <v>0</v>
      </c>
      <c r="AB230">
        <v>1</v>
      </c>
      <c r="AC230" s="19">
        <v>1443</v>
      </c>
      <c r="AD230">
        <v>0</v>
      </c>
      <c r="AE230" s="19">
        <v>0</v>
      </c>
      <c r="AF230">
        <v>0</v>
      </c>
      <c r="AG230" s="19">
        <v>0</v>
      </c>
      <c r="AH230">
        <v>1</v>
      </c>
      <c r="AI230" s="19">
        <v>337</v>
      </c>
      <c r="AJ230">
        <v>1</v>
      </c>
      <c r="AK230" s="19">
        <v>168</v>
      </c>
      <c r="AL230">
        <v>1</v>
      </c>
      <c r="AM230" s="19">
        <v>337</v>
      </c>
      <c r="AN230">
        <v>1</v>
      </c>
      <c r="AO230" s="19">
        <v>361</v>
      </c>
      <c r="AP230">
        <v>1</v>
      </c>
      <c r="AQ230" s="19">
        <v>601</v>
      </c>
    </row>
    <row r="231" spans="1:43" x14ac:dyDescent="0.35">
      <c r="A231" s="18">
        <v>45519</v>
      </c>
      <c r="B231" t="s">
        <v>58</v>
      </c>
      <c r="C231" t="s">
        <v>53</v>
      </c>
      <c r="D231">
        <v>6</v>
      </c>
      <c r="E231">
        <v>2</v>
      </c>
      <c r="F231">
        <v>4</v>
      </c>
      <c r="G231" s="19">
        <v>3037</v>
      </c>
      <c r="H231" s="19">
        <v>2347</v>
      </c>
      <c r="I231" s="19">
        <v>690</v>
      </c>
      <c r="J231" s="19">
        <v>235</v>
      </c>
      <c r="K231" s="19">
        <v>94</v>
      </c>
      <c r="L231" s="19">
        <v>806</v>
      </c>
      <c r="M231" s="19">
        <v>67</v>
      </c>
      <c r="N231" s="19">
        <v>49</v>
      </c>
      <c r="O231" s="19">
        <f t="shared" si="6"/>
        <v>1251</v>
      </c>
      <c r="P231" s="19">
        <f t="shared" si="7"/>
        <v>1786</v>
      </c>
      <c r="Q231" t="s">
        <v>23</v>
      </c>
      <c r="R231" t="s">
        <v>65</v>
      </c>
      <c r="T231">
        <v>1</v>
      </c>
      <c r="U231" s="19">
        <v>1518</v>
      </c>
      <c r="V231">
        <v>0</v>
      </c>
      <c r="W231" s="19">
        <v>0</v>
      </c>
      <c r="X231">
        <v>0</v>
      </c>
      <c r="Y231" s="19">
        <v>0</v>
      </c>
      <c r="Z231">
        <v>0</v>
      </c>
      <c r="AA231" s="19">
        <v>0</v>
      </c>
      <c r="AB231">
        <v>1</v>
      </c>
      <c r="AC231" s="19">
        <v>828</v>
      </c>
      <c r="AD231">
        <v>0</v>
      </c>
      <c r="AE231" s="19">
        <v>0</v>
      </c>
      <c r="AF231">
        <v>0</v>
      </c>
      <c r="AG231" s="19">
        <v>0</v>
      </c>
      <c r="AH231">
        <v>1</v>
      </c>
      <c r="AI231" s="19">
        <v>193</v>
      </c>
      <c r="AJ231">
        <v>1</v>
      </c>
      <c r="AK231" s="19">
        <v>97</v>
      </c>
      <c r="AL231">
        <v>1</v>
      </c>
      <c r="AM231" s="19">
        <v>193</v>
      </c>
      <c r="AN231">
        <v>1</v>
      </c>
      <c r="AO231" s="19">
        <v>207</v>
      </c>
      <c r="AP231">
        <v>0</v>
      </c>
      <c r="AQ231" s="19">
        <v>0</v>
      </c>
    </row>
    <row r="232" spans="1:43" x14ac:dyDescent="0.35">
      <c r="A232" s="18">
        <v>45520</v>
      </c>
      <c r="B232" t="s">
        <v>59</v>
      </c>
      <c r="C232" t="s">
        <v>53</v>
      </c>
      <c r="D232">
        <v>6</v>
      </c>
      <c r="E232">
        <v>2</v>
      </c>
      <c r="F232">
        <v>4</v>
      </c>
      <c r="G232" s="19">
        <v>3126</v>
      </c>
      <c r="H232" s="19">
        <v>2416</v>
      </c>
      <c r="I232" s="19">
        <v>710</v>
      </c>
      <c r="J232" s="19">
        <v>235</v>
      </c>
      <c r="K232" s="19">
        <v>94</v>
      </c>
      <c r="L232" s="19">
        <v>806</v>
      </c>
      <c r="M232" s="19">
        <v>69</v>
      </c>
      <c r="N232" s="19">
        <v>49</v>
      </c>
      <c r="O232" s="19">
        <f t="shared" si="6"/>
        <v>1253</v>
      </c>
      <c r="P232" s="19">
        <f t="shared" si="7"/>
        <v>1873</v>
      </c>
      <c r="Q232" t="s">
        <v>23</v>
      </c>
      <c r="R232" t="s">
        <v>65</v>
      </c>
      <c r="T232">
        <v>1</v>
      </c>
      <c r="U232" s="19">
        <v>1563</v>
      </c>
      <c r="V232">
        <v>0</v>
      </c>
      <c r="W232" s="19">
        <v>0</v>
      </c>
      <c r="X232">
        <v>0</v>
      </c>
      <c r="Y232" s="19">
        <v>0</v>
      </c>
      <c r="Z232">
        <v>0</v>
      </c>
      <c r="AA232" s="19">
        <v>0</v>
      </c>
      <c r="AB232">
        <v>1</v>
      </c>
      <c r="AC232" s="19">
        <v>853</v>
      </c>
      <c r="AD232">
        <v>0</v>
      </c>
      <c r="AE232" s="19">
        <v>0</v>
      </c>
      <c r="AF232">
        <v>0</v>
      </c>
      <c r="AG232" s="19">
        <v>0</v>
      </c>
      <c r="AH232">
        <v>1</v>
      </c>
      <c r="AI232" s="19">
        <v>199</v>
      </c>
      <c r="AJ232">
        <v>1</v>
      </c>
      <c r="AK232" s="19">
        <v>99</v>
      </c>
      <c r="AL232">
        <v>1</v>
      </c>
      <c r="AM232" s="19">
        <v>199</v>
      </c>
      <c r="AN232">
        <v>1</v>
      </c>
      <c r="AO232" s="19">
        <v>213</v>
      </c>
      <c r="AP232">
        <v>0</v>
      </c>
      <c r="AQ232" s="19">
        <v>0</v>
      </c>
    </row>
    <row r="233" spans="1:43" x14ac:dyDescent="0.35">
      <c r="A233" s="18">
        <v>45521</v>
      </c>
      <c r="B233" t="s">
        <v>60</v>
      </c>
      <c r="C233" t="s">
        <v>61</v>
      </c>
      <c r="D233">
        <v>8</v>
      </c>
      <c r="E233">
        <v>3</v>
      </c>
      <c r="F233">
        <v>5</v>
      </c>
      <c r="G233" s="19">
        <v>4156</v>
      </c>
      <c r="H233" s="19">
        <v>3197</v>
      </c>
      <c r="I233" s="19">
        <v>959</v>
      </c>
      <c r="J233" s="19">
        <v>235</v>
      </c>
      <c r="K233" s="19">
        <v>94</v>
      </c>
      <c r="L233" s="19">
        <v>806</v>
      </c>
      <c r="M233" s="19">
        <v>92</v>
      </c>
      <c r="N233" s="19">
        <v>65</v>
      </c>
      <c r="O233" s="19">
        <f t="shared" si="6"/>
        <v>1292</v>
      </c>
      <c r="P233" s="19">
        <f t="shared" si="7"/>
        <v>2864</v>
      </c>
      <c r="Q233" t="s">
        <v>23</v>
      </c>
      <c r="R233" t="s">
        <v>65</v>
      </c>
      <c r="T233">
        <v>1</v>
      </c>
      <c r="U233" s="19">
        <v>1407</v>
      </c>
      <c r="V233">
        <v>0</v>
      </c>
      <c r="W233" s="19">
        <v>0</v>
      </c>
      <c r="X233">
        <v>0</v>
      </c>
      <c r="Y233" s="19">
        <v>0</v>
      </c>
      <c r="Z233">
        <v>1</v>
      </c>
      <c r="AA233" s="19">
        <v>1023</v>
      </c>
      <c r="AB233">
        <v>1</v>
      </c>
      <c r="AC233" s="19">
        <v>767</v>
      </c>
      <c r="AD233">
        <v>0</v>
      </c>
      <c r="AE233" s="19">
        <v>0</v>
      </c>
      <c r="AF233">
        <v>0</v>
      </c>
      <c r="AG233" s="19">
        <v>0</v>
      </c>
      <c r="AH233">
        <v>1</v>
      </c>
      <c r="AI233" s="19">
        <v>179</v>
      </c>
      <c r="AJ233">
        <v>1</v>
      </c>
      <c r="AK233" s="19">
        <v>90</v>
      </c>
      <c r="AL233">
        <v>1</v>
      </c>
      <c r="AM233" s="19">
        <v>179</v>
      </c>
      <c r="AN233">
        <v>1</v>
      </c>
      <c r="AO233" s="19">
        <v>192</v>
      </c>
      <c r="AP233">
        <v>1</v>
      </c>
      <c r="AQ233" s="19">
        <v>320</v>
      </c>
    </row>
    <row r="234" spans="1:43" x14ac:dyDescent="0.35">
      <c r="A234" s="18">
        <v>45522</v>
      </c>
      <c r="B234" t="s">
        <v>62</v>
      </c>
      <c r="C234" t="s">
        <v>61</v>
      </c>
      <c r="D234">
        <v>7</v>
      </c>
      <c r="E234">
        <v>2</v>
      </c>
      <c r="F234">
        <v>5</v>
      </c>
      <c r="G234" s="19">
        <v>3713</v>
      </c>
      <c r="H234" s="19">
        <v>2576</v>
      </c>
      <c r="I234" s="19">
        <v>1137</v>
      </c>
      <c r="J234" s="19">
        <v>235</v>
      </c>
      <c r="K234" s="19">
        <v>94</v>
      </c>
      <c r="L234" s="19">
        <v>806</v>
      </c>
      <c r="M234" s="19">
        <v>82</v>
      </c>
      <c r="N234" s="19">
        <v>57</v>
      </c>
      <c r="O234" s="19">
        <f t="shared" si="6"/>
        <v>1274</v>
      </c>
      <c r="P234" s="19">
        <f t="shared" si="7"/>
        <v>2439</v>
      </c>
      <c r="Q234" t="s">
        <v>23</v>
      </c>
      <c r="R234" t="s">
        <v>65</v>
      </c>
      <c r="T234">
        <v>1</v>
      </c>
      <c r="U234" s="19">
        <v>1667</v>
      </c>
      <c r="V234">
        <v>0</v>
      </c>
      <c r="W234" s="19">
        <v>0</v>
      </c>
      <c r="X234">
        <v>0</v>
      </c>
      <c r="Y234" s="19">
        <v>0</v>
      </c>
      <c r="Z234">
        <v>0</v>
      </c>
      <c r="AA234" s="19">
        <v>0</v>
      </c>
      <c r="AB234">
        <v>1</v>
      </c>
      <c r="AC234" s="19">
        <v>909</v>
      </c>
      <c r="AD234">
        <v>0</v>
      </c>
      <c r="AE234" s="19">
        <v>0</v>
      </c>
      <c r="AF234">
        <v>0</v>
      </c>
      <c r="AG234" s="19">
        <v>0</v>
      </c>
      <c r="AH234">
        <v>1</v>
      </c>
      <c r="AI234" s="19">
        <v>212</v>
      </c>
      <c r="AJ234">
        <v>1</v>
      </c>
      <c r="AK234" s="19">
        <v>106</v>
      </c>
      <c r="AL234">
        <v>1</v>
      </c>
      <c r="AM234" s="19">
        <v>212</v>
      </c>
      <c r="AN234">
        <v>1</v>
      </c>
      <c r="AO234" s="19">
        <v>227</v>
      </c>
      <c r="AP234">
        <v>1</v>
      </c>
      <c r="AQ234" s="19">
        <v>379</v>
      </c>
    </row>
    <row r="235" spans="1:43" x14ac:dyDescent="0.35">
      <c r="A235" s="18">
        <v>45523</v>
      </c>
      <c r="B235" t="s">
        <v>52</v>
      </c>
      <c r="C235" t="s">
        <v>53</v>
      </c>
      <c r="D235">
        <v>5</v>
      </c>
      <c r="E235">
        <v>1</v>
      </c>
      <c r="F235">
        <v>4</v>
      </c>
      <c r="G235" s="19">
        <v>2591</v>
      </c>
      <c r="H235" s="19">
        <v>1413</v>
      </c>
      <c r="I235" s="19">
        <v>1178</v>
      </c>
      <c r="J235" s="19">
        <v>235</v>
      </c>
      <c r="K235" s="19">
        <v>94</v>
      </c>
      <c r="L235" s="19">
        <v>806</v>
      </c>
      <c r="M235" s="19">
        <v>57</v>
      </c>
      <c r="N235" s="19">
        <v>40</v>
      </c>
      <c r="O235" s="19">
        <f t="shared" si="6"/>
        <v>1232</v>
      </c>
      <c r="P235" s="19">
        <f t="shared" si="7"/>
        <v>1359</v>
      </c>
      <c r="Q235" t="s">
        <v>27</v>
      </c>
      <c r="R235" t="s">
        <v>65</v>
      </c>
      <c r="T235">
        <v>0</v>
      </c>
      <c r="U235" s="19">
        <v>0</v>
      </c>
      <c r="V235">
        <v>0</v>
      </c>
      <c r="W235" s="19">
        <v>0</v>
      </c>
      <c r="X235">
        <v>0</v>
      </c>
      <c r="Y235" s="19">
        <v>0</v>
      </c>
      <c r="Z235">
        <v>0</v>
      </c>
      <c r="AA235" s="19">
        <v>0</v>
      </c>
      <c r="AB235">
        <v>1</v>
      </c>
      <c r="AC235" s="19">
        <v>1413</v>
      </c>
      <c r="AD235">
        <v>0</v>
      </c>
      <c r="AE235" s="19">
        <v>0</v>
      </c>
      <c r="AF235">
        <v>0</v>
      </c>
      <c r="AG235" s="19">
        <v>0</v>
      </c>
      <c r="AH235">
        <v>1</v>
      </c>
      <c r="AI235" s="19">
        <v>330</v>
      </c>
      <c r="AJ235">
        <v>1</v>
      </c>
      <c r="AK235" s="19">
        <v>165</v>
      </c>
      <c r="AL235">
        <v>1</v>
      </c>
      <c r="AM235" s="19">
        <v>330</v>
      </c>
      <c r="AN235">
        <v>1</v>
      </c>
      <c r="AO235" s="19">
        <v>353</v>
      </c>
      <c r="AP235">
        <v>0</v>
      </c>
      <c r="AQ235" s="19">
        <v>0</v>
      </c>
    </row>
    <row r="236" spans="1:43" x14ac:dyDescent="0.35">
      <c r="A236" s="18">
        <v>45524</v>
      </c>
      <c r="B236" t="s">
        <v>56</v>
      </c>
      <c r="C236" t="s">
        <v>53</v>
      </c>
      <c r="D236">
        <v>5</v>
      </c>
      <c r="E236">
        <v>0</v>
      </c>
      <c r="F236">
        <v>5</v>
      </c>
      <c r="G236" s="19">
        <v>2787</v>
      </c>
      <c r="H236" s="19">
        <v>0</v>
      </c>
      <c r="I236" s="19">
        <v>2787</v>
      </c>
      <c r="J236" s="19">
        <v>235</v>
      </c>
      <c r="K236" s="19">
        <v>94</v>
      </c>
      <c r="L236" s="19">
        <v>806</v>
      </c>
      <c r="M236" s="19">
        <v>61</v>
      </c>
      <c r="N236" s="19">
        <v>40</v>
      </c>
      <c r="O236" s="19">
        <f t="shared" si="6"/>
        <v>1236</v>
      </c>
      <c r="P236" s="19">
        <f t="shared" si="7"/>
        <v>1551</v>
      </c>
      <c r="Q236" t="s">
        <v>34</v>
      </c>
      <c r="R236" t="s">
        <v>65</v>
      </c>
      <c r="T236">
        <v>0</v>
      </c>
      <c r="U236" s="19">
        <v>0</v>
      </c>
      <c r="V236">
        <v>0</v>
      </c>
      <c r="W236" s="19">
        <v>0</v>
      </c>
      <c r="X236">
        <v>0</v>
      </c>
      <c r="Y236" s="19">
        <v>0</v>
      </c>
      <c r="Z236">
        <v>0</v>
      </c>
      <c r="AA236" s="19">
        <v>0</v>
      </c>
      <c r="AB236">
        <v>0</v>
      </c>
      <c r="AC236" s="19">
        <v>0</v>
      </c>
      <c r="AD236">
        <v>0</v>
      </c>
      <c r="AE236" s="19">
        <v>0</v>
      </c>
      <c r="AF236">
        <v>0</v>
      </c>
      <c r="AG236" s="19">
        <v>0</v>
      </c>
      <c r="AH236">
        <v>1</v>
      </c>
      <c r="AI236" s="19">
        <v>520</v>
      </c>
      <c r="AJ236">
        <v>1</v>
      </c>
      <c r="AK236" s="19">
        <v>260</v>
      </c>
      <c r="AL236">
        <v>1</v>
      </c>
      <c r="AM236" s="19">
        <v>520</v>
      </c>
      <c r="AN236">
        <v>1</v>
      </c>
      <c r="AO236" s="19">
        <v>557</v>
      </c>
      <c r="AP236">
        <v>1</v>
      </c>
      <c r="AQ236" s="19">
        <v>929</v>
      </c>
    </row>
    <row r="237" spans="1:43" x14ac:dyDescent="0.35">
      <c r="A237" s="18">
        <v>45525</v>
      </c>
      <c r="B237" t="s">
        <v>57</v>
      </c>
      <c r="C237" t="s">
        <v>53</v>
      </c>
      <c r="D237">
        <v>6</v>
      </c>
      <c r="E237">
        <v>2</v>
      </c>
      <c r="F237">
        <v>4</v>
      </c>
      <c r="G237" s="19">
        <v>2983</v>
      </c>
      <c r="H237" s="19">
        <v>2305</v>
      </c>
      <c r="I237" s="19">
        <v>678</v>
      </c>
      <c r="J237" s="19">
        <v>235</v>
      </c>
      <c r="K237" s="19">
        <v>94</v>
      </c>
      <c r="L237" s="19">
        <v>806</v>
      </c>
      <c r="M237" s="19">
        <v>66</v>
      </c>
      <c r="N237" s="19">
        <v>49</v>
      </c>
      <c r="O237" s="19">
        <f t="shared" si="6"/>
        <v>1250</v>
      </c>
      <c r="P237" s="19">
        <f t="shared" si="7"/>
        <v>1733</v>
      </c>
      <c r="Q237" t="s">
        <v>23</v>
      </c>
      <c r="R237" t="s">
        <v>65</v>
      </c>
      <c r="T237">
        <v>1</v>
      </c>
      <c r="U237" s="19">
        <v>1492</v>
      </c>
      <c r="V237">
        <v>0</v>
      </c>
      <c r="W237" s="19">
        <v>0</v>
      </c>
      <c r="X237">
        <v>0</v>
      </c>
      <c r="Y237" s="19">
        <v>0</v>
      </c>
      <c r="Z237">
        <v>0</v>
      </c>
      <c r="AA237" s="19">
        <v>0</v>
      </c>
      <c r="AB237">
        <v>1</v>
      </c>
      <c r="AC237" s="19">
        <v>814</v>
      </c>
      <c r="AD237">
        <v>0</v>
      </c>
      <c r="AE237" s="19">
        <v>0</v>
      </c>
      <c r="AF237">
        <v>0</v>
      </c>
      <c r="AG237" s="19">
        <v>0</v>
      </c>
      <c r="AH237">
        <v>1</v>
      </c>
      <c r="AI237" s="19">
        <v>190</v>
      </c>
      <c r="AJ237">
        <v>1</v>
      </c>
      <c r="AK237" s="19">
        <v>95</v>
      </c>
      <c r="AL237">
        <v>1</v>
      </c>
      <c r="AM237" s="19">
        <v>190</v>
      </c>
      <c r="AN237">
        <v>1</v>
      </c>
      <c r="AO237" s="19">
        <v>203</v>
      </c>
      <c r="AP237">
        <v>0</v>
      </c>
      <c r="AQ237" s="19">
        <v>0</v>
      </c>
    </row>
    <row r="238" spans="1:43" x14ac:dyDescent="0.35">
      <c r="A238" s="18">
        <v>45526</v>
      </c>
      <c r="B238" t="s">
        <v>58</v>
      </c>
      <c r="C238" t="s">
        <v>53</v>
      </c>
      <c r="D238">
        <v>6</v>
      </c>
      <c r="E238">
        <v>2</v>
      </c>
      <c r="F238">
        <v>4</v>
      </c>
      <c r="G238" s="19">
        <v>3011</v>
      </c>
      <c r="H238" s="19">
        <v>2327</v>
      </c>
      <c r="I238" s="19">
        <v>684</v>
      </c>
      <c r="J238" s="19">
        <v>235</v>
      </c>
      <c r="K238" s="19">
        <v>94</v>
      </c>
      <c r="L238" s="19">
        <v>806</v>
      </c>
      <c r="M238" s="19">
        <v>66</v>
      </c>
      <c r="N238" s="19">
        <v>49</v>
      </c>
      <c r="O238" s="19">
        <f t="shared" si="6"/>
        <v>1250</v>
      </c>
      <c r="P238" s="19">
        <f t="shared" si="7"/>
        <v>1761</v>
      </c>
      <c r="Q238" t="s">
        <v>23</v>
      </c>
      <c r="R238" t="s">
        <v>65</v>
      </c>
      <c r="T238">
        <v>1</v>
      </c>
      <c r="U238" s="19">
        <v>1506</v>
      </c>
      <c r="V238">
        <v>0</v>
      </c>
      <c r="W238" s="19">
        <v>0</v>
      </c>
      <c r="X238">
        <v>0</v>
      </c>
      <c r="Y238" s="19">
        <v>0</v>
      </c>
      <c r="Z238">
        <v>0</v>
      </c>
      <c r="AA238" s="19">
        <v>0</v>
      </c>
      <c r="AB238">
        <v>1</v>
      </c>
      <c r="AC238" s="19">
        <v>821</v>
      </c>
      <c r="AD238">
        <v>0</v>
      </c>
      <c r="AE238" s="19">
        <v>0</v>
      </c>
      <c r="AF238">
        <v>0</v>
      </c>
      <c r="AG238" s="19">
        <v>0</v>
      </c>
      <c r="AH238">
        <v>1</v>
      </c>
      <c r="AI238" s="19">
        <v>192</v>
      </c>
      <c r="AJ238">
        <v>1</v>
      </c>
      <c r="AK238" s="19">
        <v>96</v>
      </c>
      <c r="AL238">
        <v>1</v>
      </c>
      <c r="AM238" s="19">
        <v>192</v>
      </c>
      <c r="AN238">
        <v>1</v>
      </c>
      <c r="AO238" s="19">
        <v>205</v>
      </c>
      <c r="AP238">
        <v>0</v>
      </c>
      <c r="AQ238" s="19">
        <v>0</v>
      </c>
    </row>
    <row r="239" spans="1:43" x14ac:dyDescent="0.35">
      <c r="A239" s="18">
        <v>45527</v>
      </c>
      <c r="B239" t="s">
        <v>59</v>
      </c>
      <c r="C239" t="s">
        <v>53</v>
      </c>
      <c r="D239">
        <v>6</v>
      </c>
      <c r="E239">
        <v>2</v>
      </c>
      <c r="F239">
        <v>4</v>
      </c>
      <c r="G239" s="19">
        <v>3220</v>
      </c>
      <c r="H239" s="19">
        <v>2488</v>
      </c>
      <c r="I239" s="19">
        <v>732</v>
      </c>
      <c r="J239" s="19">
        <v>235</v>
      </c>
      <c r="K239" s="19">
        <v>94</v>
      </c>
      <c r="L239" s="19">
        <v>806</v>
      </c>
      <c r="M239" s="19">
        <v>71</v>
      </c>
      <c r="N239" s="19">
        <v>49</v>
      </c>
      <c r="O239" s="19">
        <f t="shared" si="6"/>
        <v>1255</v>
      </c>
      <c r="P239" s="19">
        <f t="shared" si="7"/>
        <v>1965</v>
      </c>
      <c r="Q239" t="s">
        <v>23</v>
      </c>
      <c r="R239" t="s">
        <v>65</v>
      </c>
      <c r="T239">
        <v>1</v>
      </c>
      <c r="U239" s="19">
        <v>1610</v>
      </c>
      <c r="V239">
        <v>0</v>
      </c>
      <c r="W239" s="19">
        <v>0</v>
      </c>
      <c r="X239">
        <v>0</v>
      </c>
      <c r="Y239" s="19">
        <v>0</v>
      </c>
      <c r="Z239">
        <v>0</v>
      </c>
      <c r="AA239" s="19">
        <v>0</v>
      </c>
      <c r="AB239">
        <v>1</v>
      </c>
      <c r="AC239" s="19">
        <v>878</v>
      </c>
      <c r="AD239">
        <v>0</v>
      </c>
      <c r="AE239" s="19">
        <v>0</v>
      </c>
      <c r="AF239">
        <v>0</v>
      </c>
      <c r="AG239" s="19">
        <v>0</v>
      </c>
      <c r="AH239">
        <v>1</v>
      </c>
      <c r="AI239" s="19">
        <v>205</v>
      </c>
      <c r="AJ239">
        <v>1</v>
      </c>
      <c r="AK239" s="19">
        <v>102</v>
      </c>
      <c r="AL239">
        <v>1</v>
      </c>
      <c r="AM239" s="19">
        <v>205</v>
      </c>
      <c r="AN239">
        <v>1</v>
      </c>
      <c r="AO239" s="19">
        <v>220</v>
      </c>
      <c r="AP239">
        <v>0</v>
      </c>
      <c r="AQ239" s="19">
        <v>0</v>
      </c>
    </row>
    <row r="240" spans="1:43" x14ac:dyDescent="0.35">
      <c r="A240" s="18">
        <v>45528</v>
      </c>
      <c r="B240" t="s">
        <v>60</v>
      </c>
      <c r="C240" t="s">
        <v>61</v>
      </c>
      <c r="D240">
        <v>7</v>
      </c>
      <c r="E240">
        <v>2</v>
      </c>
      <c r="F240">
        <v>5</v>
      </c>
      <c r="G240" s="19">
        <v>3960</v>
      </c>
      <c r="H240" s="19">
        <v>2748</v>
      </c>
      <c r="I240" s="19">
        <v>1212</v>
      </c>
      <c r="J240" s="19">
        <v>235</v>
      </c>
      <c r="K240" s="19">
        <v>94</v>
      </c>
      <c r="L240" s="19">
        <v>806</v>
      </c>
      <c r="M240" s="19">
        <v>87</v>
      </c>
      <c r="N240" s="19">
        <v>57</v>
      </c>
      <c r="O240" s="19">
        <f t="shared" si="6"/>
        <v>1279</v>
      </c>
      <c r="P240" s="19">
        <f t="shared" si="7"/>
        <v>2681</v>
      </c>
      <c r="Q240" t="s">
        <v>23</v>
      </c>
      <c r="R240" t="s">
        <v>65</v>
      </c>
      <c r="T240">
        <v>1</v>
      </c>
      <c r="U240" s="19">
        <v>1778</v>
      </c>
      <c r="V240">
        <v>0</v>
      </c>
      <c r="W240" s="19">
        <v>0</v>
      </c>
      <c r="X240">
        <v>0</v>
      </c>
      <c r="Y240" s="19">
        <v>0</v>
      </c>
      <c r="Z240">
        <v>0</v>
      </c>
      <c r="AA240" s="19">
        <v>0</v>
      </c>
      <c r="AB240">
        <v>1</v>
      </c>
      <c r="AC240" s="19">
        <v>970</v>
      </c>
      <c r="AD240">
        <v>0</v>
      </c>
      <c r="AE240" s="19">
        <v>0</v>
      </c>
      <c r="AF240">
        <v>0</v>
      </c>
      <c r="AG240" s="19">
        <v>0</v>
      </c>
      <c r="AH240">
        <v>1</v>
      </c>
      <c r="AI240" s="19">
        <v>226</v>
      </c>
      <c r="AJ240">
        <v>1</v>
      </c>
      <c r="AK240" s="19">
        <v>113</v>
      </c>
      <c r="AL240">
        <v>1</v>
      </c>
      <c r="AM240" s="19">
        <v>226</v>
      </c>
      <c r="AN240">
        <v>1</v>
      </c>
      <c r="AO240" s="19">
        <v>242</v>
      </c>
      <c r="AP240">
        <v>1</v>
      </c>
      <c r="AQ240" s="19">
        <v>404</v>
      </c>
    </row>
    <row r="241" spans="1:43" x14ac:dyDescent="0.35">
      <c r="A241" s="18">
        <v>45529</v>
      </c>
      <c r="B241" t="s">
        <v>62</v>
      </c>
      <c r="C241" t="s">
        <v>61</v>
      </c>
      <c r="D241">
        <v>7</v>
      </c>
      <c r="E241">
        <v>2</v>
      </c>
      <c r="F241">
        <v>5</v>
      </c>
      <c r="G241" s="19">
        <v>3591</v>
      </c>
      <c r="H241" s="19">
        <v>2492</v>
      </c>
      <c r="I241" s="19">
        <v>1099</v>
      </c>
      <c r="J241" s="19">
        <v>235</v>
      </c>
      <c r="K241" s="19">
        <v>94</v>
      </c>
      <c r="L241" s="19">
        <v>806</v>
      </c>
      <c r="M241" s="19">
        <v>79</v>
      </c>
      <c r="N241" s="19">
        <v>57</v>
      </c>
      <c r="O241" s="19">
        <f t="shared" si="6"/>
        <v>1271</v>
      </c>
      <c r="P241" s="19">
        <f t="shared" si="7"/>
        <v>2320</v>
      </c>
      <c r="Q241" t="s">
        <v>23</v>
      </c>
      <c r="R241" t="s">
        <v>65</v>
      </c>
      <c r="T241">
        <v>1</v>
      </c>
      <c r="U241" s="19">
        <v>1612</v>
      </c>
      <c r="V241">
        <v>0</v>
      </c>
      <c r="W241" s="19">
        <v>0</v>
      </c>
      <c r="X241">
        <v>0</v>
      </c>
      <c r="Y241" s="19">
        <v>0</v>
      </c>
      <c r="Z241">
        <v>0</v>
      </c>
      <c r="AA241" s="19">
        <v>0</v>
      </c>
      <c r="AB241">
        <v>1</v>
      </c>
      <c r="AC241" s="19">
        <v>879</v>
      </c>
      <c r="AD241">
        <v>0</v>
      </c>
      <c r="AE241" s="19">
        <v>0</v>
      </c>
      <c r="AF241">
        <v>0</v>
      </c>
      <c r="AG241" s="19">
        <v>0</v>
      </c>
      <c r="AH241">
        <v>1</v>
      </c>
      <c r="AI241" s="19">
        <v>205</v>
      </c>
      <c r="AJ241">
        <v>1</v>
      </c>
      <c r="AK241" s="19">
        <v>103</v>
      </c>
      <c r="AL241">
        <v>1</v>
      </c>
      <c r="AM241" s="19">
        <v>205</v>
      </c>
      <c r="AN241">
        <v>1</v>
      </c>
      <c r="AO241" s="19">
        <v>220</v>
      </c>
      <c r="AP241">
        <v>1</v>
      </c>
      <c r="AQ241" s="19">
        <v>366</v>
      </c>
    </row>
    <row r="242" spans="1:43" x14ac:dyDescent="0.35">
      <c r="A242" s="18">
        <v>45530</v>
      </c>
      <c r="B242" t="s">
        <v>52</v>
      </c>
      <c r="C242" t="s">
        <v>53</v>
      </c>
      <c r="D242">
        <v>5</v>
      </c>
      <c r="E242">
        <v>1</v>
      </c>
      <c r="F242">
        <v>4</v>
      </c>
      <c r="G242" s="19">
        <v>2825</v>
      </c>
      <c r="H242" s="19">
        <v>1942</v>
      </c>
      <c r="I242" s="19">
        <v>883</v>
      </c>
      <c r="J242" s="19">
        <v>235</v>
      </c>
      <c r="K242" s="19">
        <v>94</v>
      </c>
      <c r="L242" s="19">
        <v>806</v>
      </c>
      <c r="M242" s="19">
        <v>62</v>
      </c>
      <c r="N242" s="19">
        <v>40</v>
      </c>
      <c r="O242" s="19">
        <f t="shared" si="6"/>
        <v>1237</v>
      </c>
      <c r="P242" s="19">
        <f t="shared" si="7"/>
        <v>1588</v>
      </c>
      <c r="Q242" t="s">
        <v>23</v>
      </c>
      <c r="R242" t="s">
        <v>65</v>
      </c>
      <c r="T242">
        <v>1</v>
      </c>
      <c r="U242" s="19">
        <v>1942</v>
      </c>
      <c r="V242">
        <v>0</v>
      </c>
      <c r="W242" s="19">
        <v>0</v>
      </c>
      <c r="X242">
        <v>0</v>
      </c>
      <c r="Y242" s="19">
        <v>0</v>
      </c>
      <c r="Z242">
        <v>0</v>
      </c>
      <c r="AA242" s="19">
        <v>0</v>
      </c>
      <c r="AB242">
        <v>0</v>
      </c>
      <c r="AC242" s="19">
        <v>0</v>
      </c>
      <c r="AD242">
        <v>0</v>
      </c>
      <c r="AE242" s="19">
        <v>0</v>
      </c>
      <c r="AF242">
        <v>0</v>
      </c>
      <c r="AG242" s="19">
        <v>0</v>
      </c>
      <c r="AH242">
        <v>1</v>
      </c>
      <c r="AI242" s="19">
        <v>247</v>
      </c>
      <c r="AJ242">
        <v>1</v>
      </c>
      <c r="AK242" s="19">
        <v>124</v>
      </c>
      <c r="AL242">
        <v>1</v>
      </c>
      <c r="AM242" s="19">
        <v>247</v>
      </c>
      <c r="AN242">
        <v>1</v>
      </c>
      <c r="AO242" s="19">
        <v>265</v>
      </c>
      <c r="AP242">
        <v>0</v>
      </c>
      <c r="AQ242" s="19">
        <v>0</v>
      </c>
    </row>
    <row r="243" spans="1:43" x14ac:dyDescent="0.35">
      <c r="A243" s="18">
        <v>45531</v>
      </c>
      <c r="B243" t="s">
        <v>56</v>
      </c>
      <c r="C243" t="s">
        <v>53</v>
      </c>
      <c r="D243">
        <v>6</v>
      </c>
      <c r="E243">
        <v>1</v>
      </c>
      <c r="F243">
        <v>5</v>
      </c>
      <c r="G243" s="19">
        <v>2979</v>
      </c>
      <c r="H243" s="19">
        <v>1324</v>
      </c>
      <c r="I243" s="19">
        <v>1655</v>
      </c>
      <c r="J243" s="19">
        <v>235</v>
      </c>
      <c r="K243" s="19">
        <v>94</v>
      </c>
      <c r="L243" s="19">
        <v>806</v>
      </c>
      <c r="M243" s="19">
        <v>66</v>
      </c>
      <c r="N243" s="19">
        <v>49</v>
      </c>
      <c r="O243" s="19">
        <f t="shared" si="6"/>
        <v>1250</v>
      </c>
      <c r="P243" s="19">
        <f t="shared" si="7"/>
        <v>1729</v>
      </c>
      <c r="Q243" t="s">
        <v>27</v>
      </c>
      <c r="R243" t="s">
        <v>65</v>
      </c>
      <c r="T243">
        <v>0</v>
      </c>
      <c r="U243" s="19">
        <v>0</v>
      </c>
      <c r="V243">
        <v>0</v>
      </c>
      <c r="W243" s="19">
        <v>0</v>
      </c>
      <c r="X243">
        <v>0</v>
      </c>
      <c r="Y243" s="19">
        <v>0</v>
      </c>
      <c r="Z243">
        <v>0</v>
      </c>
      <c r="AA243" s="19">
        <v>0</v>
      </c>
      <c r="AB243">
        <v>1</v>
      </c>
      <c r="AC243" s="19">
        <v>1324</v>
      </c>
      <c r="AD243">
        <v>0</v>
      </c>
      <c r="AE243" s="19">
        <v>0</v>
      </c>
      <c r="AF243">
        <v>0</v>
      </c>
      <c r="AG243" s="19">
        <v>0</v>
      </c>
      <c r="AH243">
        <v>1</v>
      </c>
      <c r="AI243" s="19">
        <v>309</v>
      </c>
      <c r="AJ243">
        <v>1</v>
      </c>
      <c r="AK243" s="19">
        <v>154</v>
      </c>
      <c r="AL243">
        <v>1</v>
      </c>
      <c r="AM243" s="19">
        <v>309</v>
      </c>
      <c r="AN243">
        <v>1</v>
      </c>
      <c r="AO243" s="19">
        <v>331</v>
      </c>
      <c r="AP243">
        <v>1</v>
      </c>
      <c r="AQ243" s="19">
        <v>552</v>
      </c>
    </row>
    <row r="244" spans="1:43" x14ac:dyDescent="0.35">
      <c r="A244" s="18">
        <v>45532</v>
      </c>
      <c r="B244" t="s">
        <v>57</v>
      </c>
      <c r="C244" t="s">
        <v>53</v>
      </c>
      <c r="D244">
        <v>6</v>
      </c>
      <c r="E244">
        <v>2</v>
      </c>
      <c r="F244">
        <v>4</v>
      </c>
      <c r="G244" s="19">
        <v>3234</v>
      </c>
      <c r="H244" s="19">
        <v>2499</v>
      </c>
      <c r="I244" s="19">
        <v>735</v>
      </c>
      <c r="J244" s="19">
        <v>235</v>
      </c>
      <c r="K244" s="19">
        <v>94</v>
      </c>
      <c r="L244" s="19">
        <v>806</v>
      </c>
      <c r="M244" s="19">
        <v>71</v>
      </c>
      <c r="N244" s="19">
        <v>49</v>
      </c>
      <c r="O244" s="19">
        <f t="shared" si="6"/>
        <v>1255</v>
      </c>
      <c r="P244" s="19">
        <f t="shared" si="7"/>
        <v>1979</v>
      </c>
      <c r="Q244" t="s">
        <v>23</v>
      </c>
      <c r="R244" t="s">
        <v>65</v>
      </c>
      <c r="T244">
        <v>1</v>
      </c>
      <c r="U244" s="19">
        <v>1617</v>
      </c>
      <c r="V244">
        <v>0</v>
      </c>
      <c r="W244" s="19">
        <v>0</v>
      </c>
      <c r="X244">
        <v>0</v>
      </c>
      <c r="Y244" s="19">
        <v>0</v>
      </c>
      <c r="Z244">
        <v>0</v>
      </c>
      <c r="AA244" s="19">
        <v>0</v>
      </c>
      <c r="AB244">
        <v>1</v>
      </c>
      <c r="AC244" s="19">
        <v>882</v>
      </c>
      <c r="AD244">
        <v>0</v>
      </c>
      <c r="AE244" s="19">
        <v>0</v>
      </c>
      <c r="AF244">
        <v>0</v>
      </c>
      <c r="AG244" s="19">
        <v>0</v>
      </c>
      <c r="AH244">
        <v>1</v>
      </c>
      <c r="AI244" s="19">
        <v>206</v>
      </c>
      <c r="AJ244">
        <v>1</v>
      </c>
      <c r="AK244" s="19">
        <v>103</v>
      </c>
      <c r="AL244">
        <v>1</v>
      </c>
      <c r="AM244" s="19">
        <v>206</v>
      </c>
      <c r="AN244">
        <v>1</v>
      </c>
      <c r="AO244" s="19">
        <v>220</v>
      </c>
      <c r="AP244">
        <v>0</v>
      </c>
      <c r="AQ244" s="19">
        <v>0</v>
      </c>
    </row>
    <row r="245" spans="1:43" x14ac:dyDescent="0.35">
      <c r="A245" s="18">
        <v>45533</v>
      </c>
      <c r="B245" t="s">
        <v>58</v>
      </c>
      <c r="C245" t="s">
        <v>53</v>
      </c>
      <c r="D245">
        <v>6</v>
      </c>
      <c r="E245">
        <v>2</v>
      </c>
      <c r="F245">
        <v>4</v>
      </c>
      <c r="G245" s="19">
        <v>2950</v>
      </c>
      <c r="H245" s="19">
        <v>2280</v>
      </c>
      <c r="I245" s="19">
        <v>670</v>
      </c>
      <c r="J245" s="19">
        <v>235</v>
      </c>
      <c r="K245" s="19">
        <v>94</v>
      </c>
      <c r="L245" s="19">
        <v>806</v>
      </c>
      <c r="M245" s="19">
        <v>65</v>
      </c>
      <c r="N245" s="19">
        <v>49</v>
      </c>
      <c r="O245" s="19">
        <f t="shared" si="6"/>
        <v>1249</v>
      </c>
      <c r="P245" s="19">
        <f t="shared" si="7"/>
        <v>1701</v>
      </c>
      <c r="Q245" t="s">
        <v>23</v>
      </c>
      <c r="R245" t="s">
        <v>65</v>
      </c>
      <c r="T245">
        <v>1</v>
      </c>
      <c r="U245" s="19">
        <v>1475</v>
      </c>
      <c r="V245">
        <v>0</v>
      </c>
      <c r="W245" s="19">
        <v>0</v>
      </c>
      <c r="X245">
        <v>0</v>
      </c>
      <c r="Y245" s="19">
        <v>0</v>
      </c>
      <c r="Z245">
        <v>0</v>
      </c>
      <c r="AA245" s="19">
        <v>0</v>
      </c>
      <c r="AB245">
        <v>1</v>
      </c>
      <c r="AC245" s="19">
        <v>805</v>
      </c>
      <c r="AD245">
        <v>0</v>
      </c>
      <c r="AE245" s="19">
        <v>0</v>
      </c>
      <c r="AF245">
        <v>0</v>
      </c>
      <c r="AG245" s="19">
        <v>0</v>
      </c>
      <c r="AH245">
        <v>1</v>
      </c>
      <c r="AI245" s="19">
        <v>188</v>
      </c>
      <c r="AJ245">
        <v>1</v>
      </c>
      <c r="AK245" s="19">
        <v>94</v>
      </c>
      <c r="AL245">
        <v>1</v>
      </c>
      <c r="AM245" s="19">
        <v>188</v>
      </c>
      <c r="AN245">
        <v>1</v>
      </c>
      <c r="AO245" s="19">
        <v>201</v>
      </c>
      <c r="AP245">
        <v>0</v>
      </c>
      <c r="AQ245" s="19">
        <v>0</v>
      </c>
    </row>
    <row r="246" spans="1:43" x14ac:dyDescent="0.35">
      <c r="A246" s="18">
        <v>45534</v>
      </c>
      <c r="B246" t="s">
        <v>59</v>
      </c>
      <c r="C246" t="s">
        <v>53</v>
      </c>
      <c r="D246">
        <v>6</v>
      </c>
      <c r="E246">
        <v>2</v>
      </c>
      <c r="F246">
        <v>4</v>
      </c>
      <c r="G246" s="19">
        <v>3195</v>
      </c>
      <c r="H246" s="19">
        <v>2469</v>
      </c>
      <c r="I246" s="19">
        <v>726</v>
      </c>
      <c r="J246" s="19">
        <v>235</v>
      </c>
      <c r="K246" s="19">
        <v>94</v>
      </c>
      <c r="L246" s="19">
        <v>806</v>
      </c>
      <c r="M246" s="19">
        <v>70</v>
      </c>
      <c r="N246" s="19">
        <v>49</v>
      </c>
      <c r="O246" s="19">
        <f t="shared" si="6"/>
        <v>1254</v>
      </c>
      <c r="P246" s="19">
        <f t="shared" si="7"/>
        <v>1941</v>
      </c>
      <c r="Q246" t="s">
        <v>23</v>
      </c>
      <c r="R246" t="s">
        <v>65</v>
      </c>
      <c r="T246">
        <v>1</v>
      </c>
      <c r="U246" s="19">
        <v>1598</v>
      </c>
      <c r="V246">
        <v>0</v>
      </c>
      <c r="W246" s="19">
        <v>0</v>
      </c>
      <c r="X246">
        <v>0</v>
      </c>
      <c r="Y246" s="19">
        <v>0</v>
      </c>
      <c r="Z246">
        <v>0</v>
      </c>
      <c r="AA246" s="19">
        <v>0</v>
      </c>
      <c r="AB246">
        <v>1</v>
      </c>
      <c r="AC246" s="19">
        <v>871</v>
      </c>
      <c r="AD246">
        <v>0</v>
      </c>
      <c r="AE246" s="19">
        <v>0</v>
      </c>
      <c r="AF246">
        <v>0</v>
      </c>
      <c r="AG246" s="19">
        <v>0</v>
      </c>
      <c r="AH246">
        <v>1</v>
      </c>
      <c r="AI246" s="19">
        <v>203</v>
      </c>
      <c r="AJ246">
        <v>1</v>
      </c>
      <c r="AK246" s="19">
        <v>102</v>
      </c>
      <c r="AL246">
        <v>1</v>
      </c>
      <c r="AM246" s="19">
        <v>203</v>
      </c>
      <c r="AN246">
        <v>1</v>
      </c>
      <c r="AO246" s="19">
        <v>218</v>
      </c>
      <c r="AP246">
        <v>0</v>
      </c>
      <c r="AQ246" s="19">
        <v>0</v>
      </c>
    </row>
    <row r="247" spans="1:43" x14ac:dyDescent="0.35">
      <c r="A247" s="18">
        <v>45535</v>
      </c>
      <c r="B247" t="s">
        <v>60</v>
      </c>
      <c r="C247" t="s">
        <v>61</v>
      </c>
      <c r="D247">
        <v>8</v>
      </c>
      <c r="E247">
        <v>3</v>
      </c>
      <c r="F247">
        <v>5</v>
      </c>
      <c r="G247" s="19">
        <v>4314</v>
      </c>
      <c r="H247" s="19">
        <v>3065</v>
      </c>
      <c r="I247" s="19">
        <v>1249</v>
      </c>
      <c r="J247" s="19">
        <v>235</v>
      </c>
      <c r="K247" s="19">
        <v>94</v>
      </c>
      <c r="L247" s="19">
        <v>806</v>
      </c>
      <c r="M247" s="19">
        <v>95</v>
      </c>
      <c r="N247" s="19">
        <v>65</v>
      </c>
      <c r="O247" s="19">
        <f t="shared" si="6"/>
        <v>1295</v>
      </c>
      <c r="P247" s="19">
        <f t="shared" si="7"/>
        <v>3019</v>
      </c>
      <c r="Q247" t="s">
        <v>23</v>
      </c>
      <c r="R247" t="s">
        <v>65</v>
      </c>
      <c r="T247">
        <v>1</v>
      </c>
      <c r="U247" s="19">
        <v>1832</v>
      </c>
      <c r="V247">
        <v>0</v>
      </c>
      <c r="W247" s="19">
        <v>0</v>
      </c>
      <c r="X247">
        <v>0</v>
      </c>
      <c r="Y247" s="19">
        <v>0</v>
      </c>
      <c r="Z247">
        <v>0</v>
      </c>
      <c r="AA247" s="19">
        <v>0</v>
      </c>
      <c r="AB247">
        <v>1</v>
      </c>
      <c r="AC247" s="19">
        <v>999</v>
      </c>
      <c r="AD247">
        <v>0</v>
      </c>
      <c r="AE247" s="19">
        <v>0</v>
      </c>
      <c r="AF247">
        <v>0</v>
      </c>
      <c r="AG247" s="19">
        <v>0</v>
      </c>
      <c r="AH247">
        <v>2</v>
      </c>
      <c r="AI247" s="19">
        <v>466</v>
      </c>
      <c r="AJ247">
        <v>1</v>
      </c>
      <c r="AK247" s="19">
        <v>117</v>
      </c>
      <c r="AL247">
        <v>1</v>
      </c>
      <c r="AM247" s="19">
        <v>233</v>
      </c>
      <c r="AN247">
        <v>1</v>
      </c>
      <c r="AO247" s="19">
        <v>250</v>
      </c>
      <c r="AP247">
        <v>1</v>
      </c>
      <c r="AQ247" s="19">
        <v>416</v>
      </c>
    </row>
    <row r="248" spans="1:43" x14ac:dyDescent="0.35">
      <c r="A248" s="18">
        <v>45536</v>
      </c>
      <c r="B248" t="s">
        <v>62</v>
      </c>
      <c r="C248" t="s">
        <v>61</v>
      </c>
      <c r="D248">
        <v>7</v>
      </c>
      <c r="E248">
        <v>3</v>
      </c>
      <c r="F248">
        <v>4</v>
      </c>
      <c r="G248" s="19">
        <v>3943</v>
      </c>
      <c r="H248" s="19">
        <v>3286</v>
      </c>
      <c r="I248" s="19">
        <v>657</v>
      </c>
      <c r="J248" s="19">
        <v>243</v>
      </c>
      <c r="K248" s="19">
        <v>97</v>
      </c>
      <c r="L248" s="19">
        <v>833</v>
      </c>
      <c r="M248" s="19">
        <v>87</v>
      </c>
      <c r="N248" s="19">
        <v>57</v>
      </c>
      <c r="O248" s="19">
        <f t="shared" si="6"/>
        <v>1317</v>
      </c>
      <c r="P248" s="19">
        <f t="shared" si="7"/>
        <v>2626</v>
      </c>
      <c r="Q248" t="s">
        <v>23</v>
      </c>
      <c r="R248" t="s">
        <v>65</v>
      </c>
      <c r="T248">
        <v>1</v>
      </c>
      <c r="U248" s="19">
        <v>1446</v>
      </c>
      <c r="V248">
        <v>0</v>
      </c>
      <c r="W248" s="19">
        <v>0</v>
      </c>
      <c r="X248">
        <v>0</v>
      </c>
      <c r="Y248" s="19">
        <v>0</v>
      </c>
      <c r="Z248">
        <v>1</v>
      </c>
      <c r="AA248" s="19">
        <v>1051</v>
      </c>
      <c r="AB248">
        <v>1</v>
      </c>
      <c r="AC248" s="19">
        <v>789</v>
      </c>
      <c r="AD248">
        <v>0</v>
      </c>
      <c r="AE248" s="19">
        <v>0</v>
      </c>
      <c r="AF248">
        <v>0</v>
      </c>
      <c r="AG248" s="19">
        <v>0</v>
      </c>
      <c r="AH248">
        <v>1</v>
      </c>
      <c r="AI248" s="19">
        <v>184</v>
      </c>
      <c r="AJ248">
        <v>1</v>
      </c>
      <c r="AK248" s="19">
        <v>92</v>
      </c>
      <c r="AL248">
        <v>1</v>
      </c>
      <c r="AM248" s="19">
        <v>184</v>
      </c>
      <c r="AN248">
        <v>1</v>
      </c>
      <c r="AO248" s="19">
        <v>197</v>
      </c>
      <c r="AP248">
        <v>0</v>
      </c>
      <c r="AQ248" s="19">
        <v>0</v>
      </c>
    </row>
    <row r="249" spans="1:43" x14ac:dyDescent="0.35">
      <c r="A249" s="18">
        <v>45537</v>
      </c>
      <c r="B249" t="s">
        <v>52</v>
      </c>
      <c r="C249" t="s">
        <v>53</v>
      </c>
      <c r="D249">
        <v>6</v>
      </c>
      <c r="E249">
        <v>1</v>
      </c>
      <c r="F249">
        <v>5</v>
      </c>
      <c r="G249" s="19">
        <v>3001</v>
      </c>
      <c r="H249" s="19">
        <v>1784</v>
      </c>
      <c r="I249" s="19">
        <v>1217</v>
      </c>
      <c r="J249" s="19">
        <v>243</v>
      </c>
      <c r="K249" s="19">
        <v>97</v>
      </c>
      <c r="L249" s="19">
        <v>833</v>
      </c>
      <c r="M249" s="19">
        <v>66</v>
      </c>
      <c r="N249" s="19">
        <v>49</v>
      </c>
      <c r="O249" s="19">
        <f t="shared" si="6"/>
        <v>1288</v>
      </c>
      <c r="P249" s="19">
        <f t="shared" si="7"/>
        <v>1713</v>
      </c>
      <c r="Q249" t="s">
        <v>23</v>
      </c>
      <c r="R249" t="s">
        <v>65</v>
      </c>
      <c r="T249">
        <v>1</v>
      </c>
      <c r="U249" s="19">
        <v>1784</v>
      </c>
      <c r="V249">
        <v>0</v>
      </c>
      <c r="W249" s="19">
        <v>0</v>
      </c>
      <c r="X249">
        <v>0</v>
      </c>
      <c r="Y249" s="19">
        <v>0</v>
      </c>
      <c r="Z249">
        <v>0</v>
      </c>
      <c r="AA249" s="19">
        <v>0</v>
      </c>
      <c r="AB249">
        <v>0</v>
      </c>
      <c r="AC249" s="19">
        <v>0</v>
      </c>
      <c r="AD249">
        <v>0</v>
      </c>
      <c r="AE249" s="19">
        <v>0</v>
      </c>
      <c r="AF249">
        <v>0</v>
      </c>
      <c r="AG249" s="19">
        <v>0</v>
      </c>
      <c r="AH249">
        <v>1</v>
      </c>
      <c r="AI249" s="19">
        <v>227</v>
      </c>
      <c r="AJ249">
        <v>1</v>
      </c>
      <c r="AK249" s="19">
        <v>114</v>
      </c>
      <c r="AL249">
        <v>1</v>
      </c>
      <c r="AM249" s="19">
        <v>227</v>
      </c>
      <c r="AN249">
        <v>1</v>
      </c>
      <c r="AO249" s="19">
        <v>243</v>
      </c>
      <c r="AP249">
        <v>1</v>
      </c>
      <c r="AQ249" s="19">
        <v>406</v>
      </c>
    </row>
    <row r="250" spans="1:43" x14ac:dyDescent="0.35">
      <c r="A250" s="18">
        <v>45538</v>
      </c>
      <c r="B250" t="s">
        <v>56</v>
      </c>
      <c r="C250" t="s">
        <v>53</v>
      </c>
      <c r="D250">
        <v>6</v>
      </c>
      <c r="E250">
        <v>1</v>
      </c>
      <c r="F250">
        <v>5</v>
      </c>
      <c r="G250" s="19">
        <v>2921</v>
      </c>
      <c r="H250" s="19">
        <v>1737</v>
      </c>
      <c r="I250" s="19">
        <v>1184</v>
      </c>
      <c r="J250" s="19">
        <v>243</v>
      </c>
      <c r="K250" s="19">
        <v>97</v>
      </c>
      <c r="L250" s="19">
        <v>833</v>
      </c>
      <c r="M250" s="19">
        <v>64</v>
      </c>
      <c r="N250" s="19">
        <v>49</v>
      </c>
      <c r="O250" s="19">
        <f t="shared" si="6"/>
        <v>1286</v>
      </c>
      <c r="P250" s="19">
        <f t="shared" si="7"/>
        <v>1635</v>
      </c>
      <c r="Q250" t="s">
        <v>23</v>
      </c>
      <c r="R250" t="s">
        <v>65</v>
      </c>
      <c r="T250">
        <v>1</v>
      </c>
      <c r="U250" s="19">
        <v>1737</v>
      </c>
      <c r="V250">
        <v>0</v>
      </c>
      <c r="W250" s="19">
        <v>0</v>
      </c>
      <c r="X250">
        <v>0</v>
      </c>
      <c r="Y250" s="19">
        <v>0</v>
      </c>
      <c r="Z250">
        <v>0</v>
      </c>
      <c r="AA250" s="19">
        <v>0</v>
      </c>
      <c r="AB250">
        <v>0</v>
      </c>
      <c r="AC250" s="19">
        <v>0</v>
      </c>
      <c r="AD250">
        <v>0</v>
      </c>
      <c r="AE250" s="19">
        <v>0</v>
      </c>
      <c r="AF250">
        <v>0</v>
      </c>
      <c r="AG250" s="19">
        <v>0</v>
      </c>
      <c r="AH250">
        <v>1</v>
      </c>
      <c r="AI250" s="19">
        <v>221</v>
      </c>
      <c r="AJ250">
        <v>1</v>
      </c>
      <c r="AK250" s="19">
        <v>111</v>
      </c>
      <c r="AL250">
        <v>1</v>
      </c>
      <c r="AM250" s="19">
        <v>221</v>
      </c>
      <c r="AN250">
        <v>1</v>
      </c>
      <c r="AO250" s="19">
        <v>237</v>
      </c>
      <c r="AP250">
        <v>1</v>
      </c>
      <c r="AQ250" s="19">
        <v>395</v>
      </c>
    </row>
    <row r="251" spans="1:43" x14ac:dyDescent="0.35">
      <c r="A251" s="18">
        <v>45539</v>
      </c>
      <c r="B251" t="s">
        <v>57</v>
      </c>
      <c r="C251" t="s">
        <v>53</v>
      </c>
      <c r="D251">
        <v>6</v>
      </c>
      <c r="E251">
        <v>2</v>
      </c>
      <c r="F251">
        <v>4</v>
      </c>
      <c r="G251" s="19">
        <v>3102</v>
      </c>
      <c r="H251" s="19">
        <v>2397</v>
      </c>
      <c r="I251" s="19">
        <v>705</v>
      </c>
      <c r="J251" s="19">
        <v>243</v>
      </c>
      <c r="K251" s="19">
        <v>97</v>
      </c>
      <c r="L251" s="19">
        <v>833</v>
      </c>
      <c r="M251" s="19">
        <v>68</v>
      </c>
      <c r="N251" s="19">
        <v>49</v>
      </c>
      <c r="O251" s="19">
        <f t="shared" si="6"/>
        <v>1290</v>
      </c>
      <c r="P251" s="19">
        <f t="shared" si="7"/>
        <v>1812</v>
      </c>
      <c r="Q251" t="s">
        <v>23</v>
      </c>
      <c r="R251" t="s">
        <v>65</v>
      </c>
      <c r="T251">
        <v>1</v>
      </c>
      <c r="U251" s="19">
        <v>1551</v>
      </c>
      <c r="V251">
        <v>0</v>
      </c>
      <c r="W251" s="19">
        <v>0</v>
      </c>
      <c r="X251">
        <v>0</v>
      </c>
      <c r="Y251" s="19">
        <v>0</v>
      </c>
      <c r="Z251">
        <v>0</v>
      </c>
      <c r="AA251" s="19">
        <v>0</v>
      </c>
      <c r="AB251">
        <v>1</v>
      </c>
      <c r="AC251" s="19">
        <v>846</v>
      </c>
      <c r="AD251">
        <v>0</v>
      </c>
      <c r="AE251" s="19">
        <v>0</v>
      </c>
      <c r="AF251">
        <v>0</v>
      </c>
      <c r="AG251" s="19">
        <v>0</v>
      </c>
      <c r="AH251">
        <v>1</v>
      </c>
      <c r="AI251" s="19">
        <v>197</v>
      </c>
      <c r="AJ251">
        <v>1</v>
      </c>
      <c r="AK251" s="19">
        <v>99</v>
      </c>
      <c r="AL251">
        <v>1</v>
      </c>
      <c r="AM251" s="19">
        <v>197</v>
      </c>
      <c r="AN251">
        <v>1</v>
      </c>
      <c r="AO251" s="19">
        <v>212</v>
      </c>
      <c r="AP251">
        <v>0</v>
      </c>
      <c r="AQ251" s="19">
        <v>0</v>
      </c>
    </row>
    <row r="252" spans="1:43" x14ac:dyDescent="0.35">
      <c r="A252" s="18">
        <v>45540</v>
      </c>
      <c r="B252" t="s">
        <v>58</v>
      </c>
      <c r="C252" t="s">
        <v>53</v>
      </c>
      <c r="D252">
        <v>6</v>
      </c>
      <c r="E252">
        <v>2</v>
      </c>
      <c r="F252">
        <v>4</v>
      </c>
      <c r="G252" s="19">
        <v>3245</v>
      </c>
      <c r="H252" s="19">
        <v>2508</v>
      </c>
      <c r="I252" s="19">
        <v>738</v>
      </c>
      <c r="J252" s="19">
        <v>243</v>
      </c>
      <c r="K252" s="19">
        <v>97</v>
      </c>
      <c r="L252" s="19">
        <v>833</v>
      </c>
      <c r="M252" s="19">
        <v>72</v>
      </c>
      <c r="N252" s="19">
        <v>49</v>
      </c>
      <c r="O252" s="19">
        <f t="shared" si="6"/>
        <v>1294</v>
      </c>
      <c r="P252" s="19">
        <f t="shared" si="7"/>
        <v>1951</v>
      </c>
      <c r="Q252" t="s">
        <v>23</v>
      </c>
      <c r="R252" t="s">
        <v>65</v>
      </c>
      <c r="T252">
        <v>1</v>
      </c>
      <c r="U252" s="19">
        <v>1622</v>
      </c>
      <c r="V252">
        <v>0</v>
      </c>
      <c r="W252" s="19">
        <v>0</v>
      </c>
      <c r="X252">
        <v>0</v>
      </c>
      <c r="Y252" s="19">
        <v>0</v>
      </c>
      <c r="Z252">
        <v>0</v>
      </c>
      <c r="AA252" s="19">
        <v>0</v>
      </c>
      <c r="AB252">
        <v>1</v>
      </c>
      <c r="AC252" s="19">
        <v>885</v>
      </c>
      <c r="AD252">
        <v>0</v>
      </c>
      <c r="AE252" s="19">
        <v>0</v>
      </c>
      <c r="AF252">
        <v>0</v>
      </c>
      <c r="AG252" s="19">
        <v>0</v>
      </c>
      <c r="AH252">
        <v>1</v>
      </c>
      <c r="AI252" s="19">
        <v>206</v>
      </c>
      <c r="AJ252">
        <v>1</v>
      </c>
      <c r="AK252" s="19">
        <v>103</v>
      </c>
      <c r="AL252">
        <v>1</v>
      </c>
      <c r="AM252" s="19">
        <v>206</v>
      </c>
      <c r="AN252">
        <v>1</v>
      </c>
      <c r="AO252" s="19">
        <v>221</v>
      </c>
      <c r="AP252">
        <v>0</v>
      </c>
      <c r="AQ252" s="19">
        <v>0</v>
      </c>
    </row>
    <row r="253" spans="1:43" x14ac:dyDescent="0.35">
      <c r="A253" s="18">
        <v>45541</v>
      </c>
      <c r="B253" t="s">
        <v>59</v>
      </c>
      <c r="C253" t="s">
        <v>53</v>
      </c>
      <c r="D253">
        <v>6</v>
      </c>
      <c r="E253">
        <v>2</v>
      </c>
      <c r="F253">
        <v>4</v>
      </c>
      <c r="G253" s="19">
        <v>3301</v>
      </c>
      <c r="H253" s="19">
        <v>2551</v>
      </c>
      <c r="I253" s="19">
        <v>750</v>
      </c>
      <c r="J253" s="19">
        <v>243</v>
      </c>
      <c r="K253" s="19">
        <v>97</v>
      </c>
      <c r="L253" s="19">
        <v>833</v>
      </c>
      <c r="M253" s="19">
        <v>73</v>
      </c>
      <c r="N253" s="19">
        <v>49</v>
      </c>
      <c r="O253" s="19">
        <f t="shared" si="6"/>
        <v>1295</v>
      </c>
      <c r="P253" s="19">
        <f t="shared" si="7"/>
        <v>2006</v>
      </c>
      <c r="Q253" t="s">
        <v>23</v>
      </c>
      <c r="R253" t="s">
        <v>65</v>
      </c>
      <c r="T253">
        <v>1</v>
      </c>
      <c r="U253" s="19">
        <v>1650</v>
      </c>
      <c r="V253">
        <v>0</v>
      </c>
      <c r="W253" s="19">
        <v>0</v>
      </c>
      <c r="X253">
        <v>0</v>
      </c>
      <c r="Y253" s="19">
        <v>0</v>
      </c>
      <c r="Z253">
        <v>0</v>
      </c>
      <c r="AA253" s="19">
        <v>0</v>
      </c>
      <c r="AB253">
        <v>1</v>
      </c>
      <c r="AC253" s="19">
        <v>900</v>
      </c>
      <c r="AD253">
        <v>0</v>
      </c>
      <c r="AE253" s="19">
        <v>0</v>
      </c>
      <c r="AF253">
        <v>0</v>
      </c>
      <c r="AG253" s="19">
        <v>0</v>
      </c>
      <c r="AH253">
        <v>1</v>
      </c>
      <c r="AI253" s="19">
        <v>210</v>
      </c>
      <c r="AJ253">
        <v>1</v>
      </c>
      <c r="AK253" s="19">
        <v>105</v>
      </c>
      <c r="AL253">
        <v>1</v>
      </c>
      <c r="AM253" s="19">
        <v>210</v>
      </c>
      <c r="AN253">
        <v>1</v>
      </c>
      <c r="AO253" s="19">
        <v>225</v>
      </c>
      <c r="AP253">
        <v>0</v>
      </c>
      <c r="AQ253" s="19">
        <v>0</v>
      </c>
    </row>
    <row r="254" spans="1:43" x14ac:dyDescent="0.35">
      <c r="A254" s="18">
        <v>45542</v>
      </c>
      <c r="B254" t="s">
        <v>60</v>
      </c>
      <c r="C254" t="s">
        <v>61</v>
      </c>
      <c r="D254">
        <v>8</v>
      </c>
      <c r="E254">
        <v>3</v>
      </c>
      <c r="F254">
        <v>5</v>
      </c>
      <c r="G254" s="19">
        <v>4138</v>
      </c>
      <c r="H254" s="19">
        <v>2940</v>
      </c>
      <c r="I254" s="19">
        <v>1198</v>
      </c>
      <c r="J254" s="19">
        <v>243</v>
      </c>
      <c r="K254" s="19">
        <v>97</v>
      </c>
      <c r="L254" s="19">
        <v>833</v>
      </c>
      <c r="M254" s="19">
        <v>91</v>
      </c>
      <c r="N254" s="19">
        <v>65</v>
      </c>
      <c r="O254" s="19">
        <f t="shared" si="6"/>
        <v>1329</v>
      </c>
      <c r="P254" s="19">
        <f t="shared" si="7"/>
        <v>2809</v>
      </c>
      <c r="Q254" t="s">
        <v>23</v>
      </c>
      <c r="R254" t="s">
        <v>65</v>
      </c>
      <c r="T254">
        <v>1</v>
      </c>
      <c r="U254" s="19">
        <v>1757</v>
      </c>
      <c r="V254">
        <v>0</v>
      </c>
      <c r="W254" s="19">
        <v>0</v>
      </c>
      <c r="X254">
        <v>0</v>
      </c>
      <c r="Y254" s="19">
        <v>0</v>
      </c>
      <c r="Z254">
        <v>0</v>
      </c>
      <c r="AA254" s="19">
        <v>0</v>
      </c>
      <c r="AB254">
        <v>1</v>
      </c>
      <c r="AC254" s="19">
        <v>959</v>
      </c>
      <c r="AD254">
        <v>0</v>
      </c>
      <c r="AE254" s="19">
        <v>0</v>
      </c>
      <c r="AF254">
        <v>0</v>
      </c>
      <c r="AG254" s="19">
        <v>0</v>
      </c>
      <c r="AH254">
        <v>2</v>
      </c>
      <c r="AI254" s="19">
        <v>447</v>
      </c>
      <c r="AJ254">
        <v>1</v>
      </c>
      <c r="AK254" s="19">
        <v>112</v>
      </c>
      <c r="AL254">
        <v>1</v>
      </c>
      <c r="AM254" s="19">
        <v>224</v>
      </c>
      <c r="AN254">
        <v>1</v>
      </c>
      <c r="AO254" s="19">
        <v>240</v>
      </c>
      <c r="AP254">
        <v>1</v>
      </c>
      <c r="AQ254" s="19">
        <v>399</v>
      </c>
    </row>
    <row r="255" spans="1:43" x14ac:dyDescent="0.35">
      <c r="A255" s="18">
        <v>45543</v>
      </c>
      <c r="B255" t="s">
        <v>62</v>
      </c>
      <c r="C255" t="s">
        <v>61</v>
      </c>
      <c r="D255">
        <v>8</v>
      </c>
      <c r="E255">
        <v>3</v>
      </c>
      <c r="F255">
        <v>5</v>
      </c>
      <c r="G255" s="19">
        <v>3884</v>
      </c>
      <c r="H255" s="19">
        <v>2988</v>
      </c>
      <c r="I255" s="19">
        <v>896</v>
      </c>
      <c r="J255" s="19">
        <v>243</v>
      </c>
      <c r="K255" s="19">
        <v>97</v>
      </c>
      <c r="L255" s="19">
        <v>833</v>
      </c>
      <c r="M255" s="19">
        <v>86</v>
      </c>
      <c r="N255" s="19">
        <v>65</v>
      </c>
      <c r="O255" s="19">
        <f t="shared" si="6"/>
        <v>1324</v>
      </c>
      <c r="P255" s="19">
        <f t="shared" si="7"/>
        <v>2560</v>
      </c>
      <c r="Q255" t="s">
        <v>23</v>
      </c>
      <c r="R255" t="s">
        <v>65</v>
      </c>
      <c r="T255">
        <v>1</v>
      </c>
      <c r="U255" s="19">
        <v>1315</v>
      </c>
      <c r="V255">
        <v>0</v>
      </c>
      <c r="W255" s="19">
        <v>0</v>
      </c>
      <c r="X255">
        <v>0</v>
      </c>
      <c r="Y255" s="19">
        <v>0</v>
      </c>
      <c r="Z255">
        <v>1</v>
      </c>
      <c r="AA255" s="19">
        <v>956</v>
      </c>
      <c r="AB255">
        <v>1</v>
      </c>
      <c r="AC255" s="19">
        <v>717</v>
      </c>
      <c r="AD255">
        <v>0</v>
      </c>
      <c r="AE255" s="19">
        <v>0</v>
      </c>
      <c r="AF255">
        <v>0</v>
      </c>
      <c r="AG255" s="19">
        <v>0</v>
      </c>
      <c r="AH255">
        <v>1</v>
      </c>
      <c r="AI255" s="19">
        <v>167</v>
      </c>
      <c r="AJ255">
        <v>1</v>
      </c>
      <c r="AK255" s="19">
        <v>84</v>
      </c>
      <c r="AL255">
        <v>1</v>
      </c>
      <c r="AM255" s="19">
        <v>167</v>
      </c>
      <c r="AN255">
        <v>1</v>
      </c>
      <c r="AO255" s="19">
        <v>179</v>
      </c>
      <c r="AP255">
        <v>1</v>
      </c>
      <c r="AQ255" s="19">
        <v>299</v>
      </c>
    </row>
    <row r="256" spans="1:43" x14ac:dyDescent="0.35">
      <c r="A256" s="18">
        <v>45544</v>
      </c>
      <c r="B256" t="s">
        <v>52</v>
      </c>
      <c r="C256" t="s">
        <v>53</v>
      </c>
      <c r="D256">
        <v>5</v>
      </c>
      <c r="E256">
        <v>1</v>
      </c>
      <c r="F256">
        <v>4</v>
      </c>
      <c r="G256" s="19">
        <v>2931</v>
      </c>
      <c r="H256" s="19">
        <v>2015</v>
      </c>
      <c r="I256" s="19">
        <v>916</v>
      </c>
      <c r="J256" s="19">
        <v>243</v>
      </c>
      <c r="K256" s="19">
        <v>97</v>
      </c>
      <c r="L256" s="19">
        <v>833</v>
      </c>
      <c r="M256" s="19">
        <v>65</v>
      </c>
      <c r="N256" s="19">
        <v>40</v>
      </c>
      <c r="O256" s="19">
        <f t="shared" si="6"/>
        <v>1278</v>
      </c>
      <c r="P256" s="19">
        <f t="shared" si="7"/>
        <v>1653</v>
      </c>
      <c r="Q256" t="s">
        <v>23</v>
      </c>
      <c r="R256" t="s">
        <v>65</v>
      </c>
      <c r="T256">
        <v>1</v>
      </c>
      <c r="U256" s="19">
        <v>2015</v>
      </c>
      <c r="V256">
        <v>0</v>
      </c>
      <c r="W256" s="19">
        <v>0</v>
      </c>
      <c r="X256">
        <v>0</v>
      </c>
      <c r="Y256" s="19">
        <v>0</v>
      </c>
      <c r="Z256">
        <v>0</v>
      </c>
      <c r="AA256" s="19">
        <v>0</v>
      </c>
      <c r="AB256">
        <v>0</v>
      </c>
      <c r="AC256" s="19">
        <v>0</v>
      </c>
      <c r="AD256">
        <v>0</v>
      </c>
      <c r="AE256" s="19">
        <v>0</v>
      </c>
      <c r="AF256">
        <v>0</v>
      </c>
      <c r="AG256" s="19">
        <v>0</v>
      </c>
      <c r="AH256">
        <v>1</v>
      </c>
      <c r="AI256" s="19">
        <v>256</v>
      </c>
      <c r="AJ256">
        <v>1</v>
      </c>
      <c r="AK256" s="19">
        <v>128</v>
      </c>
      <c r="AL256">
        <v>1</v>
      </c>
      <c r="AM256" s="19">
        <v>256</v>
      </c>
      <c r="AN256">
        <v>1</v>
      </c>
      <c r="AO256" s="19">
        <v>275</v>
      </c>
      <c r="AP256">
        <v>0</v>
      </c>
      <c r="AQ256" s="19">
        <v>0</v>
      </c>
    </row>
    <row r="257" spans="1:43" x14ac:dyDescent="0.35">
      <c r="A257" s="18">
        <v>45545</v>
      </c>
      <c r="B257" t="s">
        <v>56</v>
      </c>
      <c r="C257" t="s">
        <v>53</v>
      </c>
      <c r="D257">
        <v>5</v>
      </c>
      <c r="E257">
        <v>1</v>
      </c>
      <c r="F257">
        <v>4</v>
      </c>
      <c r="G257" s="19">
        <v>2912</v>
      </c>
      <c r="H257" s="19">
        <v>1588</v>
      </c>
      <c r="I257" s="19">
        <v>1324</v>
      </c>
      <c r="J257" s="19">
        <v>243</v>
      </c>
      <c r="K257" s="19">
        <v>97</v>
      </c>
      <c r="L257" s="19">
        <v>833</v>
      </c>
      <c r="M257" s="19">
        <v>64</v>
      </c>
      <c r="N257" s="19">
        <v>40</v>
      </c>
      <c r="O257" s="19">
        <f t="shared" si="6"/>
        <v>1277</v>
      </c>
      <c r="P257" s="19">
        <f t="shared" si="7"/>
        <v>1635</v>
      </c>
      <c r="Q257" t="s">
        <v>27</v>
      </c>
      <c r="R257" t="s">
        <v>65</v>
      </c>
      <c r="T257">
        <v>0</v>
      </c>
      <c r="U257" s="19">
        <v>0</v>
      </c>
      <c r="V257">
        <v>0</v>
      </c>
      <c r="W257" s="19">
        <v>0</v>
      </c>
      <c r="X257">
        <v>0</v>
      </c>
      <c r="Y257" s="19">
        <v>0</v>
      </c>
      <c r="Z257">
        <v>0</v>
      </c>
      <c r="AA257" s="19">
        <v>0</v>
      </c>
      <c r="AB257">
        <v>1</v>
      </c>
      <c r="AC257" s="19">
        <v>1588</v>
      </c>
      <c r="AD257">
        <v>0</v>
      </c>
      <c r="AE257" s="19">
        <v>0</v>
      </c>
      <c r="AF257">
        <v>0</v>
      </c>
      <c r="AG257" s="19">
        <v>0</v>
      </c>
      <c r="AH257">
        <v>1</v>
      </c>
      <c r="AI257" s="19">
        <v>371</v>
      </c>
      <c r="AJ257">
        <v>1</v>
      </c>
      <c r="AK257" s="19">
        <v>185</v>
      </c>
      <c r="AL257">
        <v>1</v>
      </c>
      <c r="AM257" s="19">
        <v>371</v>
      </c>
      <c r="AN257">
        <v>1</v>
      </c>
      <c r="AO257" s="19">
        <v>397</v>
      </c>
      <c r="AP257">
        <v>0</v>
      </c>
      <c r="AQ257" s="19">
        <v>0</v>
      </c>
    </row>
    <row r="258" spans="1:43" x14ac:dyDescent="0.35">
      <c r="A258" s="18">
        <v>45546</v>
      </c>
      <c r="B258" t="s">
        <v>57</v>
      </c>
      <c r="C258" t="s">
        <v>53</v>
      </c>
      <c r="D258">
        <v>6</v>
      </c>
      <c r="E258">
        <v>1</v>
      </c>
      <c r="F258">
        <v>5</v>
      </c>
      <c r="G258" s="19">
        <v>3050</v>
      </c>
      <c r="H258" s="19">
        <v>1356</v>
      </c>
      <c r="I258" s="19">
        <v>1694</v>
      </c>
      <c r="J258" s="19">
        <v>243</v>
      </c>
      <c r="K258" s="19">
        <v>97</v>
      </c>
      <c r="L258" s="19">
        <v>833</v>
      </c>
      <c r="M258" s="19">
        <v>67</v>
      </c>
      <c r="N258" s="19">
        <v>49</v>
      </c>
      <c r="O258" s="19">
        <f t="shared" si="6"/>
        <v>1289</v>
      </c>
      <c r="P258" s="19">
        <f t="shared" si="7"/>
        <v>1761</v>
      </c>
      <c r="Q258" t="s">
        <v>27</v>
      </c>
      <c r="R258" t="s">
        <v>65</v>
      </c>
      <c r="T258">
        <v>0</v>
      </c>
      <c r="U258" s="19">
        <v>0</v>
      </c>
      <c r="V258">
        <v>0</v>
      </c>
      <c r="W258" s="19">
        <v>0</v>
      </c>
      <c r="X258">
        <v>0</v>
      </c>
      <c r="Y258" s="19">
        <v>0</v>
      </c>
      <c r="Z258">
        <v>0</v>
      </c>
      <c r="AA258" s="19">
        <v>0</v>
      </c>
      <c r="AB258">
        <v>1</v>
      </c>
      <c r="AC258" s="19">
        <v>1356</v>
      </c>
      <c r="AD258">
        <v>0</v>
      </c>
      <c r="AE258" s="19">
        <v>0</v>
      </c>
      <c r="AF258">
        <v>0</v>
      </c>
      <c r="AG258" s="19">
        <v>0</v>
      </c>
      <c r="AH258">
        <v>1</v>
      </c>
      <c r="AI258" s="19">
        <v>316</v>
      </c>
      <c r="AJ258">
        <v>1</v>
      </c>
      <c r="AK258" s="19">
        <v>158</v>
      </c>
      <c r="AL258">
        <v>1</v>
      </c>
      <c r="AM258" s="19">
        <v>316</v>
      </c>
      <c r="AN258">
        <v>1</v>
      </c>
      <c r="AO258" s="19">
        <v>339</v>
      </c>
      <c r="AP258">
        <v>1</v>
      </c>
      <c r="AQ258" s="19">
        <v>565</v>
      </c>
    </row>
    <row r="259" spans="1:43" x14ac:dyDescent="0.35">
      <c r="A259" s="18">
        <v>45547</v>
      </c>
      <c r="B259" t="s">
        <v>58</v>
      </c>
      <c r="C259" t="s">
        <v>53</v>
      </c>
      <c r="D259">
        <v>6</v>
      </c>
      <c r="E259">
        <v>2</v>
      </c>
      <c r="F259">
        <v>4</v>
      </c>
      <c r="G259" s="19">
        <v>3056</v>
      </c>
      <c r="H259" s="19">
        <v>2361</v>
      </c>
      <c r="I259" s="19">
        <v>695</v>
      </c>
      <c r="J259" s="19">
        <v>243</v>
      </c>
      <c r="K259" s="19">
        <v>97</v>
      </c>
      <c r="L259" s="19">
        <v>833</v>
      </c>
      <c r="M259" s="19">
        <v>67</v>
      </c>
      <c r="N259" s="19">
        <v>49</v>
      </c>
      <c r="O259" s="19">
        <f t="shared" si="6"/>
        <v>1289</v>
      </c>
      <c r="P259" s="19">
        <f t="shared" si="7"/>
        <v>1767</v>
      </c>
      <c r="Q259" t="s">
        <v>23</v>
      </c>
      <c r="R259" t="s">
        <v>65</v>
      </c>
      <c r="T259">
        <v>1</v>
      </c>
      <c r="U259" s="19">
        <v>1528</v>
      </c>
      <c r="V259">
        <v>0</v>
      </c>
      <c r="W259" s="19">
        <v>0</v>
      </c>
      <c r="X259">
        <v>0</v>
      </c>
      <c r="Y259" s="19">
        <v>0</v>
      </c>
      <c r="Z259">
        <v>0</v>
      </c>
      <c r="AA259" s="19">
        <v>0</v>
      </c>
      <c r="AB259">
        <v>1</v>
      </c>
      <c r="AC259" s="19">
        <v>833</v>
      </c>
      <c r="AD259">
        <v>0</v>
      </c>
      <c r="AE259" s="19">
        <v>0</v>
      </c>
      <c r="AF259">
        <v>0</v>
      </c>
      <c r="AG259" s="19">
        <v>0</v>
      </c>
      <c r="AH259">
        <v>1</v>
      </c>
      <c r="AI259" s="19">
        <v>194</v>
      </c>
      <c r="AJ259">
        <v>1</v>
      </c>
      <c r="AK259" s="19">
        <v>97</v>
      </c>
      <c r="AL259">
        <v>1</v>
      </c>
      <c r="AM259" s="19">
        <v>194</v>
      </c>
      <c r="AN259">
        <v>1</v>
      </c>
      <c r="AO259" s="19">
        <v>208</v>
      </c>
      <c r="AP259">
        <v>0</v>
      </c>
      <c r="AQ259" s="19">
        <v>0</v>
      </c>
    </row>
    <row r="260" spans="1:43" x14ac:dyDescent="0.35">
      <c r="A260" s="18">
        <v>45548</v>
      </c>
      <c r="B260" t="s">
        <v>59</v>
      </c>
      <c r="C260" t="s">
        <v>53</v>
      </c>
      <c r="D260">
        <v>6</v>
      </c>
      <c r="E260">
        <v>2</v>
      </c>
      <c r="F260">
        <v>4</v>
      </c>
      <c r="G260" s="19">
        <v>3243</v>
      </c>
      <c r="H260" s="19">
        <v>2506</v>
      </c>
      <c r="I260" s="19">
        <v>737</v>
      </c>
      <c r="J260" s="19">
        <v>243</v>
      </c>
      <c r="K260" s="19">
        <v>97</v>
      </c>
      <c r="L260" s="19">
        <v>833</v>
      </c>
      <c r="M260" s="19">
        <v>72</v>
      </c>
      <c r="N260" s="19">
        <v>49</v>
      </c>
      <c r="O260" s="19">
        <f t="shared" ref="O260:O323" si="8">SUM(J260:N260)</f>
        <v>1294</v>
      </c>
      <c r="P260" s="19">
        <f t="shared" ref="P260:P323" si="9">G260-O260</f>
        <v>1949</v>
      </c>
      <c r="Q260" t="s">
        <v>23</v>
      </c>
      <c r="R260" t="s">
        <v>65</v>
      </c>
      <c r="T260">
        <v>1</v>
      </c>
      <c r="U260" s="19">
        <v>1622</v>
      </c>
      <c r="V260">
        <v>0</v>
      </c>
      <c r="W260" s="19">
        <v>0</v>
      </c>
      <c r="X260">
        <v>0</v>
      </c>
      <c r="Y260" s="19">
        <v>0</v>
      </c>
      <c r="Z260">
        <v>0</v>
      </c>
      <c r="AA260" s="19">
        <v>0</v>
      </c>
      <c r="AB260">
        <v>1</v>
      </c>
      <c r="AC260" s="19">
        <v>884</v>
      </c>
      <c r="AD260">
        <v>0</v>
      </c>
      <c r="AE260" s="19">
        <v>0</v>
      </c>
      <c r="AF260">
        <v>0</v>
      </c>
      <c r="AG260" s="19">
        <v>0</v>
      </c>
      <c r="AH260">
        <v>1</v>
      </c>
      <c r="AI260" s="19">
        <v>206</v>
      </c>
      <c r="AJ260">
        <v>1</v>
      </c>
      <c r="AK260" s="19">
        <v>103</v>
      </c>
      <c r="AL260">
        <v>1</v>
      </c>
      <c r="AM260" s="19">
        <v>206</v>
      </c>
      <c r="AN260">
        <v>1</v>
      </c>
      <c r="AO260" s="19">
        <v>221</v>
      </c>
      <c r="AP260">
        <v>0</v>
      </c>
      <c r="AQ260" s="19">
        <v>0</v>
      </c>
    </row>
    <row r="261" spans="1:43" x14ac:dyDescent="0.35">
      <c r="A261" s="18">
        <v>45549</v>
      </c>
      <c r="B261" t="s">
        <v>60</v>
      </c>
      <c r="C261" t="s">
        <v>61</v>
      </c>
      <c r="D261">
        <v>8</v>
      </c>
      <c r="E261">
        <v>3</v>
      </c>
      <c r="F261">
        <v>5</v>
      </c>
      <c r="G261" s="19">
        <v>4376</v>
      </c>
      <c r="H261" s="19">
        <v>3366</v>
      </c>
      <c r="I261" s="19">
        <v>1010</v>
      </c>
      <c r="J261" s="19">
        <v>243</v>
      </c>
      <c r="K261" s="19">
        <v>97</v>
      </c>
      <c r="L261" s="19">
        <v>833</v>
      </c>
      <c r="M261" s="19">
        <v>97</v>
      </c>
      <c r="N261" s="19">
        <v>65</v>
      </c>
      <c r="O261" s="19">
        <f t="shared" si="8"/>
        <v>1335</v>
      </c>
      <c r="P261" s="19">
        <f t="shared" si="9"/>
        <v>3041</v>
      </c>
      <c r="Q261" t="s">
        <v>23</v>
      </c>
      <c r="R261" t="s">
        <v>65</v>
      </c>
      <c r="T261">
        <v>1</v>
      </c>
      <c r="U261" s="19">
        <v>1481</v>
      </c>
      <c r="V261">
        <v>0</v>
      </c>
      <c r="W261" s="19">
        <v>0</v>
      </c>
      <c r="X261">
        <v>0</v>
      </c>
      <c r="Y261" s="19">
        <v>0</v>
      </c>
      <c r="Z261">
        <v>1</v>
      </c>
      <c r="AA261" s="19">
        <v>1077</v>
      </c>
      <c r="AB261">
        <v>1</v>
      </c>
      <c r="AC261" s="19">
        <v>808</v>
      </c>
      <c r="AD261">
        <v>0</v>
      </c>
      <c r="AE261" s="19">
        <v>0</v>
      </c>
      <c r="AF261">
        <v>0</v>
      </c>
      <c r="AG261" s="19">
        <v>0</v>
      </c>
      <c r="AH261">
        <v>1</v>
      </c>
      <c r="AI261" s="19">
        <v>188</v>
      </c>
      <c r="AJ261">
        <v>1</v>
      </c>
      <c r="AK261" s="19">
        <v>94</v>
      </c>
      <c r="AL261">
        <v>1</v>
      </c>
      <c r="AM261" s="19">
        <v>188</v>
      </c>
      <c r="AN261">
        <v>1</v>
      </c>
      <c r="AO261" s="19">
        <v>202</v>
      </c>
      <c r="AP261">
        <v>1</v>
      </c>
      <c r="AQ261" s="19">
        <v>337</v>
      </c>
    </row>
    <row r="262" spans="1:43" x14ac:dyDescent="0.35">
      <c r="A262" s="18">
        <v>45550</v>
      </c>
      <c r="B262" t="s">
        <v>62</v>
      </c>
      <c r="C262" t="s">
        <v>61</v>
      </c>
      <c r="D262">
        <v>8</v>
      </c>
      <c r="E262">
        <v>3</v>
      </c>
      <c r="F262">
        <v>5</v>
      </c>
      <c r="G262" s="19">
        <v>4150</v>
      </c>
      <c r="H262" s="19">
        <v>3192</v>
      </c>
      <c r="I262" s="19">
        <v>958</v>
      </c>
      <c r="J262" s="19">
        <v>243</v>
      </c>
      <c r="K262" s="19">
        <v>97</v>
      </c>
      <c r="L262" s="19">
        <v>833</v>
      </c>
      <c r="M262" s="19">
        <v>92</v>
      </c>
      <c r="N262" s="19">
        <v>65</v>
      </c>
      <c r="O262" s="19">
        <f t="shared" si="8"/>
        <v>1330</v>
      </c>
      <c r="P262" s="19">
        <f t="shared" si="9"/>
        <v>2820</v>
      </c>
      <c r="Q262" t="s">
        <v>23</v>
      </c>
      <c r="R262" t="s">
        <v>65</v>
      </c>
      <c r="T262">
        <v>1</v>
      </c>
      <c r="U262" s="19">
        <v>1405</v>
      </c>
      <c r="V262">
        <v>0</v>
      </c>
      <c r="W262" s="19">
        <v>0</v>
      </c>
      <c r="X262">
        <v>0</v>
      </c>
      <c r="Y262" s="19">
        <v>0</v>
      </c>
      <c r="Z262">
        <v>1</v>
      </c>
      <c r="AA262" s="19">
        <v>1022</v>
      </c>
      <c r="AB262">
        <v>1</v>
      </c>
      <c r="AC262" s="19">
        <v>766</v>
      </c>
      <c r="AD262">
        <v>0</v>
      </c>
      <c r="AE262" s="19">
        <v>0</v>
      </c>
      <c r="AF262">
        <v>0</v>
      </c>
      <c r="AG262" s="19">
        <v>0</v>
      </c>
      <c r="AH262">
        <v>1</v>
      </c>
      <c r="AI262" s="19">
        <v>179</v>
      </c>
      <c r="AJ262">
        <v>1</v>
      </c>
      <c r="AK262" s="19">
        <v>89</v>
      </c>
      <c r="AL262">
        <v>1</v>
      </c>
      <c r="AM262" s="19">
        <v>179</v>
      </c>
      <c r="AN262">
        <v>1</v>
      </c>
      <c r="AO262" s="19">
        <v>192</v>
      </c>
      <c r="AP262">
        <v>1</v>
      </c>
      <c r="AQ262" s="19">
        <v>319</v>
      </c>
    </row>
    <row r="263" spans="1:43" x14ac:dyDescent="0.35">
      <c r="A263" s="18">
        <v>45551</v>
      </c>
      <c r="B263" t="s">
        <v>52</v>
      </c>
      <c r="C263" t="s">
        <v>53</v>
      </c>
      <c r="D263">
        <v>5</v>
      </c>
      <c r="E263">
        <v>1</v>
      </c>
      <c r="F263">
        <v>4</v>
      </c>
      <c r="G263" s="19">
        <v>2789</v>
      </c>
      <c r="H263" s="19">
        <v>1521</v>
      </c>
      <c r="I263" s="19">
        <v>1268</v>
      </c>
      <c r="J263" s="19">
        <v>243</v>
      </c>
      <c r="K263" s="19">
        <v>97</v>
      </c>
      <c r="L263" s="19">
        <v>833</v>
      </c>
      <c r="M263" s="19">
        <v>62</v>
      </c>
      <c r="N263" s="19">
        <v>40</v>
      </c>
      <c r="O263" s="19">
        <f t="shared" si="8"/>
        <v>1275</v>
      </c>
      <c r="P263" s="19">
        <f t="shared" si="9"/>
        <v>1514</v>
      </c>
      <c r="Q263" t="s">
        <v>27</v>
      </c>
      <c r="R263" t="s">
        <v>65</v>
      </c>
      <c r="T263">
        <v>0</v>
      </c>
      <c r="U263" s="19">
        <v>0</v>
      </c>
      <c r="V263">
        <v>0</v>
      </c>
      <c r="W263" s="19">
        <v>0</v>
      </c>
      <c r="X263">
        <v>0</v>
      </c>
      <c r="Y263" s="19">
        <v>0</v>
      </c>
      <c r="Z263">
        <v>0</v>
      </c>
      <c r="AA263" s="19">
        <v>0</v>
      </c>
      <c r="AB263">
        <v>1</v>
      </c>
      <c r="AC263" s="19">
        <v>1521</v>
      </c>
      <c r="AD263">
        <v>0</v>
      </c>
      <c r="AE263" s="19">
        <v>0</v>
      </c>
      <c r="AF263">
        <v>0</v>
      </c>
      <c r="AG263" s="19">
        <v>0</v>
      </c>
      <c r="AH263">
        <v>1</v>
      </c>
      <c r="AI263" s="19">
        <v>355</v>
      </c>
      <c r="AJ263">
        <v>1</v>
      </c>
      <c r="AK263" s="19">
        <v>177</v>
      </c>
      <c r="AL263">
        <v>1</v>
      </c>
      <c r="AM263" s="19">
        <v>355</v>
      </c>
      <c r="AN263">
        <v>1</v>
      </c>
      <c r="AO263" s="19">
        <v>380</v>
      </c>
      <c r="AP263">
        <v>0</v>
      </c>
      <c r="AQ263" s="19">
        <v>0</v>
      </c>
    </row>
    <row r="264" spans="1:43" x14ac:dyDescent="0.35">
      <c r="A264" s="18">
        <v>45552</v>
      </c>
      <c r="B264" t="s">
        <v>56</v>
      </c>
      <c r="C264" t="s">
        <v>53</v>
      </c>
      <c r="D264">
        <v>5</v>
      </c>
      <c r="E264">
        <v>1</v>
      </c>
      <c r="F264">
        <v>4</v>
      </c>
      <c r="G264" s="19">
        <v>2891</v>
      </c>
      <c r="H264" s="19">
        <v>1988</v>
      </c>
      <c r="I264" s="19">
        <v>903</v>
      </c>
      <c r="J264" s="19">
        <v>243</v>
      </c>
      <c r="K264" s="19">
        <v>97</v>
      </c>
      <c r="L264" s="19">
        <v>833</v>
      </c>
      <c r="M264" s="19">
        <v>64</v>
      </c>
      <c r="N264" s="19">
        <v>40</v>
      </c>
      <c r="O264" s="19">
        <f t="shared" si="8"/>
        <v>1277</v>
      </c>
      <c r="P264" s="19">
        <f t="shared" si="9"/>
        <v>1614</v>
      </c>
      <c r="Q264" t="s">
        <v>23</v>
      </c>
      <c r="R264" t="s">
        <v>65</v>
      </c>
      <c r="T264">
        <v>1</v>
      </c>
      <c r="U264" s="19">
        <v>1988</v>
      </c>
      <c r="V264">
        <v>0</v>
      </c>
      <c r="W264" s="19">
        <v>0</v>
      </c>
      <c r="X264">
        <v>0</v>
      </c>
      <c r="Y264" s="19">
        <v>0</v>
      </c>
      <c r="Z264">
        <v>0</v>
      </c>
      <c r="AA264" s="19">
        <v>0</v>
      </c>
      <c r="AB264">
        <v>0</v>
      </c>
      <c r="AC264" s="19">
        <v>0</v>
      </c>
      <c r="AD264">
        <v>0</v>
      </c>
      <c r="AE264" s="19">
        <v>0</v>
      </c>
      <c r="AF264">
        <v>0</v>
      </c>
      <c r="AG264" s="19">
        <v>0</v>
      </c>
      <c r="AH264">
        <v>1</v>
      </c>
      <c r="AI264" s="19">
        <v>253</v>
      </c>
      <c r="AJ264">
        <v>1</v>
      </c>
      <c r="AK264" s="19">
        <v>126</v>
      </c>
      <c r="AL264">
        <v>1</v>
      </c>
      <c r="AM264" s="19">
        <v>253</v>
      </c>
      <c r="AN264">
        <v>1</v>
      </c>
      <c r="AO264" s="19">
        <v>271</v>
      </c>
      <c r="AP264">
        <v>0</v>
      </c>
      <c r="AQ264" s="19">
        <v>0</v>
      </c>
    </row>
    <row r="265" spans="1:43" x14ac:dyDescent="0.35">
      <c r="A265" s="18">
        <v>45553</v>
      </c>
      <c r="B265" t="s">
        <v>57</v>
      </c>
      <c r="C265" t="s">
        <v>53</v>
      </c>
      <c r="D265">
        <v>6</v>
      </c>
      <c r="E265">
        <v>1</v>
      </c>
      <c r="F265">
        <v>5</v>
      </c>
      <c r="G265" s="19">
        <v>3416</v>
      </c>
      <c r="H265" s="19">
        <v>1518</v>
      </c>
      <c r="I265" s="19">
        <v>1898</v>
      </c>
      <c r="J265" s="19">
        <v>243</v>
      </c>
      <c r="K265" s="19">
        <v>97</v>
      </c>
      <c r="L265" s="19">
        <v>833</v>
      </c>
      <c r="M265" s="19">
        <v>75</v>
      </c>
      <c r="N265" s="19">
        <v>49</v>
      </c>
      <c r="O265" s="19">
        <f t="shared" si="8"/>
        <v>1297</v>
      </c>
      <c r="P265" s="19">
        <f t="shared" si="9"/>
        <v>2119</v>
      </c>
      <c r="Q265" t="s">
        <v>27</v>
      </c>
      <c r="R265" t="s">
        <v>65</v>
      </c>
      <c r="T265">
        <v>0</v>
      </c>
      <c r="U265" s="19">
        <v>0</v>
      </c>
      <c r="V265">
        <v>0</v>
      </c>
      <c r="W265" s="19">
        <v>0</v>
      </c>
      <c r="X265">
        <v>0</v>
      </c>
      <c r="Y265" s="19">
        <v>0</v>
      </c>
      <c r="Z265">
        <v>0</v>
      </c>
      <c r="AA265" s="19">
        <v>0</v>
      </c>
      <c r="AB265">
        <v>1</v>
      </c>
      <c r="AC265" s="19">
        <v>1518</v>
      </c>
      <c r="AD265">
        <v>0</v>
      </c>
      <c r="AE265" s="19">
        <v>0</v>
      </c>
      <c r="AF265">
        <v>0</v>
      </c>
      <c r="AG265" s="19">
        <v>0</v>
      </c>
      <c r="AH265">
        <v>1</v>
      </c>
      <c r="AI265" s="19">
        <v>354</v>
      </c>
      <c r="AJ265">
        <v>1</v>
      </c>
      <c r="AK265" s="19">
        <v>177</v>
      </c>
      <c r="AL265">
        <v>1</v>
      </c>
      <c r="AM265" s="19">
        <v>354</v>
      </c>
      <c r="AN265">
        <v>1</v>
      </c>
      <c r="AO265" s="19">
        <v>380</v>
      </c>
      <c r="AP265">
        <v>1</v>
      </c>
      <c r="AQ265" s="19">
        <v>633</v>
      </c>
    </row>
    <row r="266" spans="1:43" x14ac:dyDescent="0.35">
      <c r="A266" s="18">
        <v>45554</v>
      </c>
      <c r="B266" t="s">
        <v>58</v>
      </c>
      <c r="C266" t="s">
        <v>53</v>
      </c>
      <c r="D266">
        <v>6</v>
      </c>
      <c r="E266">
        <v>2</v>
      </c>
      <c r="F266">
        <v>4</v>
      </c>
      <c r="G266" s="19">
        <v>3411</v>
      </c>
      <c r="H266" s="19">
        <v>2636</v>
      </c>
      <c r="I266" s="19">
        <v>775</v>
      </c>
      <c r="J266" s="19">
        <v>243</v>
      </c>
      <c r="K266" s="19">
        <v>97</v>
      </c>
      <c r="L266" s="19">
        <v>833</v>
      </c>
      <c r="M266" s="19">
        <v>75</v>
      </c>
      <c r="N266" s="19">
        <v>49</v>
      </c>
      <c r="O266" s="19">
        <f t="shared" si="8"/>
        <v>1297</v>
      </c>
      <c r="P266" s="19">
        <f t="shared" si="9"/>
        <v>2114</v>
      </c>
      <c r="Q266" t="s">
        <v>23</v>
      </c>
      <c r="R266" t="s">
        <v>65</v>
      </c>
      <c r="T266">
        <v>1</v>
      </c>
      <c r="U266" s="19">
        <v>1706</v>
      </c>
      <c r="V266">
        <v>0</v>
      </c>
      <c r="W266" s="19">
        <v>0</v>
      </c>
      <c r="X266">
        <v>0</v>
      </c>
      <c r="Y266" s="19">
        <v>0</v>
      </c>
      <c r="Z266">
        <v>0</v>
      </c>
      <c r="AA266" s="19">
        <v>0</v>
      </c>
      <c r="AB266">
        <v>1</v>
      </c>
      <c r="AC266" s="19">
        <v>930</v>
      </c>
      <c r="AD266">
        <v>0</v>
      </c>
      <c r="AE266" s="19">
        <v>0</v>
      </c>
      <c r="AF266">
        <v>0</v>
      </c>
      <c r="AG266" s="19">
        <v>0</v>
      </c>
      <c r="AH266">
        <v>1</v>
      </c>
      <c r="AI266" s="19">
        <v>217</v>
      </c>
      <c r="AJ266">
        <v>1</v>
      </c>
      <c r="AK266" s="19">
        <v>109</v>
      </c>
      <c r="AL266">
        <v>1</v>
      </c>
      <c r="AM266" s="19">
        <v>217</v>
      </c>
      <c r="AN266">
        <v>1</v>
      </c>
      <c r="AO266" s="19">
        <v>233</v>
      </c>
      <c r="AP266">
        <v>0</v>
      </c>
      <c r="AQ266" s="19">
        <v>0</v>
      </c>
    </row>
    <row r="267" spans="1:43" x14ac:dyDescent="0.35">
      <c r="A267" s="18">
        <v>45555</v>
      </c>
      <c r="B267" t="s">
        <v>59</v>
      </c>
      <c r="C267" t="s">
        <v>53</v>
      </c>
      <c r="D267">
        <v>7</v>
      </c>
      <c r="E267">
        <v>2</v>
      </c>
      <c r="F267">
        <v>5</v>
      </c>
      <c r="G267" s="19">
        <v>3540</v>
      </c>
      <c r="H267" s="19">
        <v>2456</v>
      </c>
      <c r="I267" s="19">
        <v>1084</v>
      </c>
      <c r="J267" s="19">
        <v>243</v>
      </c>
      <c r="K267" s="19">
        <v>97</v>
      </c>
      <c r="L267" s="19">
        <v>833</v>
      </c>
      <c r="M267" s="19">
        <v>78</v>
      </c>
      <c r="N267" s="19">
        <v>57</v>
      </c>
      <c r="O267" s="19">
        <f t="shared" si="8"/>
        <v>1308</v>
      </c>
      <c r="P267" s="19">
        <f t="shared" si="9"/>
        <v>2232</v>
      </c>
      <c r="Q267" t="s">
        <v>23</v>
      </c>
      <c r="R267" t="s">
        <v>65</v>
      </c>
      <c r="T267">
        <v>1</v>
      </c>
      <c r="U267" s="19">
        <v>1589</v>
      </c>
      <c r="V267">
        <v>0</v>
      </c>
      <c r="W267" s="19">
        <v>0</v>
      </c>
      <c r="X267">
        <v>0</v>
      </c>
      <c r="Y267" s="19">
        <v>0</v>
      </c>
      <c r="Z267">
        <v>0</v>
      </c>
      <c r="AA267" s="19">
        <v>0</v>
      </c>
      <c r="AB267">
        <v>1</v>
      </c>
      <c r="AC267" s="19">
        <v>867</v>
      </c>
      <c r="AD267">
        <v>0</v>
      </c>
      <c r="AE267" s="19">
        <v>0</v>
      </c>
      <c r="AF267">
        <v>0</v>
      </c>
      <c r="AG267" s="19">
        <v>0</v>
      </c>
      <c r="AH267">
        <v>1</v>
      </c>
      <c r="AI267" s="19">
        <v>202</v>
      </c>
      <c r="AJ267">
        <v>1</v>
      </c>
      <c r="AK267" s="19">
        <v>101</v>
      </c>
      <c r="AL267">
        <v>1</v>
      </c>
      <c r="AM267" s="19">
        <v>202</v>
      </c>
      <c r="AN267">
        <v>1</v>
      </c>
      <c r="AO267" s="19">
        <v>217</v>
      </c>
      <c r="AP267">
        <v>1</v>
      </c>
      <c r="AQ267" s="19">
        <v>361</v>
      </c>
    </row>
    <row r="268" spans="1:43" x14ac:dyDescent="0.35">
      <c r="A268" s="18">
        <v>45556</v>
      </c>
      <c r="B268" t="s">
        <v>60</v>
      </c>
      <c r="C268" t="s">
        <v>61</v>
      </c>
      <c r="D268">
        <v>8</v>
      </c>
      <c r="E268">
        <v>3</v>
      </c>
      <c r="F268">
        <v>5</v>
      </c>
      <c r="G268" s="19">
        <v>4438</v>
      </c>
      <c r="H268" s="19">
        <v>3153</v>
      </c>
      <c r="I268" s="19">
        <v>1285</v>
      </c>
      <c r="J268" s="19">
        <v>243</v>
      </c>
      <c r="K268" s="19">
        <v>97</v>
      </c>
      <c r="L268" s="19">
        <v>833</v>
      </c>
      <c r="M268" s="19">
        <v>98</v>
      </c>
      <c r="N268" s="19">
        <v>65</v>
      </c>
      <c r="O268" s="19">
        <f t="shared" si="8"/>
        <v>1336</v>
      </c>
      <c r="P268" s="19">
        <f t="shared" si="9"/>
        <v>3102</v>
      </c>
      <c r="Q268" t="s">
        <v>23</v>
      </c>
      <c r="R268" t="s">
        <v>65</v>
      </c>
      <c r="T268">
        <v>1</v>
      </c>
      <c r="U268" s="19">
        <v>1885</v>
      </c>
      <c r="V268">
        <v>0</v>
      </c>
      <c r="W268" s="19">
        <v>0</v>
      </c>
      <c r="X268">
        <v>0</v>
      </c>
      <c r="Y268" s="19">
        <v>0</v>
      </c>
      <c r="Z268">
        <v>0</v>
      </c>
      <c r="AA268" s="19">
        <v>0</v>
      </c>
      <c r="AB268">
        <v>1</v>
      </c>
      <c r="AC268" s="19">
        <v>1028</v>
      </c>
      <c r="AD268">
        <v>0</v>
      </c>
      <c r="AE268" s="19">
        <v>0</v>
      </c>
      <c r="AF268">
        <v>0</v>
      </c>
      <c r="AG268" s="19">
        <v>0</v>
      </c>
      <c r="AH268">
        <v>2</v>
      </c>
      <c r="AI268" s="19">
        <v>480</v>
      </c>
      <c r="AJ268">
        <v>1</v>
      </c>
      <c r="AK268" s="19">
        <v>120</v>
      </c>
      <c r="AL268">
        <v>1</v>
      </c>
      <c r="AM268" s="19">
        <v>240</v>
      </c>
      <c r="AN268">
        <v>1</v>
      </c>
      <c r="AO268" s="19">
        <v>257</v>
      </c>
      <c r="AP268">
        <v>1</v>
      </c>
      <c r="AQ268" s="19">
        <v>428</v>
      </c>
    </row>
    <row r="269" spans="1:43" x14ac:dyDescent="0.35">
      <c r="A269" s="18">
        <v>45557</v>
      </c>
      <c r="B269" t="s">
        <v>62</v>
      </c>
      <c r="C269" t="s">
        <v>61</v>
      </c>
      <c r="D269">
        <v>7</v>
      </c>
      <c r="E269">
        <v>2</v>
      </c>
      <c r="F269">
        <v>5</v>
      </c>
      <c r="G269" s="19">
        <v>3590</v>
      </c>
      <c r="H269" s="19">
        <v>2491</v>
      </c>
      <c r="I269" s="19">
        <v>1099</v>
      </c>
      <c r="J269" s="19">
        <v>243</v>
      </c>
      <c r="K269" s="19">
        <v>97</v>
      </c>
      <c r="L269" s="19">
        <v>833</v>
      </c>
      <c r="M269" s="19">
        <v>79</v>
      </c>
      <c r="N269" s="19">
        <v>57</v>
      </c>
      <c r="O269" s="19">
        <f t="shared" si="8"/>
        <v>1309</v>
      </c>
      <c r="P269" s="19">
        <f t="shared" si="9"/>
        <v>2281</v>
      </c>
      <c r="Q269" t="s">
        <v>23</v>
      </c>
      <c r="R269" t="s">
        <v>65</v>
      </c>
      <c r="T269">
        <v>1</v>
      </c>
      <c r="U269" s="19">
        <v>1612</v>
      </c>
      <c r="V269">
        <v>0</v>
      </c>
      <c r="W269" s="19">
        <v>0</v>
      </c>
      <c r="X269">
        <v>0</v>
      </c>
      <c r="Y269" s="19">
        <v>0</v>
      </c>
      <c r="Z269">
        <v>0</v>
      </c>
      <c r="AA269" s="19">
        <v>0</v>
      </c>
      <c r="AB269">
        <v>1</v>
      </c>
      <c r="AC269" s="19">
        <v>879</v>
      </c>
      <c r="AD269">
        <v>0</v>
      </c>
      <c r="AE269" s="19">
        <v>0</v>
      </c>
      <c r="AF269">
        <v>0</v>
      </c>
      <c r="AG269" s="19">
        <v>0</v>
      </c>
      <c r="AH269">
        <v>1</v>
      </c>
      <c r="AI269" s="19">
        <v>205</v>
      </c>
      <c r="AJ269">
        <v>1</v>
      </c>
      <c r="AK269" s="19">
        <v>103</v>
      </c>
      <c r="AL269">
        <v>1</v>
      </c>
      <c r="AM269" s="19">
        <v>205</v>
      </c>
      <c r="AN269">
        <v>1</v>
      </c>
      <c r="AO269" s="19">
        <v>220</v>
      </c>
      <c r="AP269">
        <v>1</v>
      </c>
      <c r="AQ269" s="19">
        <v>366</v>
      </c>
    </row>
    <row r="270" spans="1:43" x14ac:dyDescent="0.35">
      <c r="A270" s="18">
        <v>45558</v>
      </c>
      <c r="B270" t="s">
        <v>52</v>
      </c>
      <c r="C270" t="s">
        <v>53</v>
      </c>
      <c r="D270">
        <v>5</v>
      </c>
      <c r="E270">
        <v>1</v>
      </c>
      <c r="F270">
        <v>4</v>
      </c>
      <c r="G270" s="19">
        <v>2837</v>
      </c>
      <c r="H270" s="19">
        <v>1950</v>
      </c>
      <c r="I270" s="19">
        <v>887</v>
      </c>
      <c r="J270" s="19">
        <v>243</v>
      </c>
      <c r="K270" s="19">
        <v>97</v>
      </c>
      <c r="L270" s="19">
        <v>833</v>
      </c>
      <c r="M270" s="19">
        <v>63</v>
      </c>
      <c r="N270" s="19">
        <v>40</v>
      </c>
      <c r="O270" s="19">
        <f t="shared" si="8"/>
        <v>1276</v>
      </c>
      <c r="P270" s="19">
        <f t="shared" si="9"/>
        <v>1561</v>
      </c>
      <c r="Q270" t="s">
        <v>23</v>
      </c>
      <c r="R270" t="s">
        <v>65</v>
      </c>
      <c r="T270">
        <v>1</v>
      </c>
      <c r="U270" s="19">
        <v>1950</v>
      </c>
      <c r="V270">
        <v>0</v>
      </c>
      <c r="W270" s="19">
        <v>0</v>
      </c>
      <c r="X270">
        <v>0</v>
      </c>
      <c r="Y270" s="19">
        <v>0</v>
      </c>
      <c r="Z270">
        <v>0</v>
      </c>
      <c r="AA270" s="19">
        <v>0</v>
      </c>
      <c r="AB270">
        <v>0</v>
      </c>
      <c r="AC270" s="19">
        <v>0</v>
      </c>
      <c r="AD270">
        <v>0</v>
      </c>
      <c r="AE270" s="19">
        <v>0</v>
      </c>
      <c r="AF270">
        <v>0</v>
      </c>
      <c r="AG270" s="19">
        <v>0</v>
      </c>
      <c r="AH270">
        <v>1</v>
      </c>
      <c r="AI270" s="19">
        <v>248</v>
      </c>
      <c r="AJ270">
        <v>1</v>
      </c>
      <c r="AK270" s="19">
        <v>124</v>
      </c>
      <c r="AL270">
        <v>1</v>
      </c>
      <c r="AM270" s="19">
        <v>248</v>
      </c>
      <c r="AN270">
        <v>1</v>
      </c>
      <c r="AO270" s="19">
        <v>266</v>
      </c>
      <c r="AP270">
        <v>0</v>
      </c>
      <c r="AQ270" s="19">
        <v>0</v>
      </c>
    </row>
    <row r="271" spans="1:43" x14ac:dyDescent="0.35">
      <c r="A271" s="18">
        <v>45559</v>
      </c>
      <c r="B271" t="s">
        <v>56</v>
      </c>
      <c r="C271" t="s">
        <v>53</v>
      </c>
      <c r="D271">
        <v>6</v>
      </c>
      <c r="E271">
        <v>2</v>
      </c>
      <c r="F271">
        <v>4</v>
      </c>
      <c r="G271" s="19">
        <v>3067</v>
      </c>
      <c r="H271" s="19">
        <v>2370</v>
      </c>
      <c r="I271" s="19">
        <v>697</v>
      </c>
      <c r="J271" s="19">
        <v>243</v>
      </c>
      <c r="K271" s="19">
        <v>97</v>
      </c>
      <c r="L271" s="19">
        <v>833</v>
      </c>
      <c r="M271" s="19">
        <v>68</v>
      </c>
      <c r="N271" s="19">
        <v>49</v>
      </c>
      <c r="O271" s="19">
        <f t="shared" si="8"/>
        <v>1290</v>
      </c>
      <c r="P271" s="19">
        <f t="shared" si="9"/>
        <v>1777</v>
      </c>
      <c r="Q271" t="s">
        <v>23</v>
      </c>
      <c r="R271" t="s">
        <v>65</v>
      </c>
      <c r="T271">
        <v>1</v>
      </c>
      <c r="U271" s="19">
        <v>1534</v>
      </c>
      <c r="V271">
        <v>0</v>
      </c>
      <c r="W271" s="19">
        <v>0</v>
      </c>
      <c r="X271">
        <v>0</v>
      </c>
      <c r="Y271" s="19">
        <v>0</v>
      </c>
      <c r="Z271">
        <v>0</v>
      </c>
      <c r="AA271" s="19">
        <v>0</v>
      </c>
      <c r="AB271">
        <v>1</v>
      </c>
      <c r="AC271" s="19">
        <v>836</v>
      </c>
      <c r="AD271">
        <v>0</v>
      </c>
      <c r="AE271" s="19">
        <v>0</v>
      </c>
      <c r="AF271">
        <v>0</v>
      </c>
      <c r="AG271" s="19">
        <v>0</v>
      </c>
      <c r="AH271">
        <v>1</v>
      </c>
      <c r="AI271" s="19">
        <v>195</v>
      </c>
      <c r="AJ271">
        <v>1</v>
      </c>
      <c r="AK271" s="19">
        <v>98</v>
      </c>
      <c r="AL271">
        <v>1</v>
      </c>
      <c r="AM271" s="19">
        <v>195</v>
      </c>
      <c r="AN271">
        <v>1</v>
      </c>
      <c r="AO271" s="19">
        <v>209</v>
      </c>
      <c r="AP271">
        <v>0</v>
      </c>
      <c r="AQ271" s="19">
        <v>0</v>
      </c>
    </row>
    <row r="272" spans="1:43" x14ac:dyDescent="0.35">
      <c r="A272" s="18">
        <v>45560</v>
      </c>
      <c r="B272" t="s">
        <v>57</v>
      </c>
      <c r="C272" t="s">
        <v>53</v>
      </c>
      <c r="D272">
        <v>6</v>
      </c>
      <c r="E272">
        <v>2</v>
      </c>
      <c r="F272">
        <v>4</v>
      </c>
      <c r="G272" s="19">
        <v>3364</v>
      </c>
      <c r="H272" s="19">
        <v>2599</v>
      </c>
      <c r="I272" s="19">
        <v>765</v>
      </c>
      <c r="J272" s="19">
        <v>243</v>
      </c>
      <c r="K272" s="19">
        <v>97</v>
      </c>
      <c r="L272" s="19">
        <v>833</v>
      </c>
      <c r="M272" s="19">
        <v>74</v>
      </c>
      <c r="N272" s="19">
        <v>49</v>
      </c>
      <c r="O272" s="19">
        <f t="shared" si="8"/>
        <v>1296</v>
      </c>
      <c r="P272" s="19">
        <f t="shared" si="9"/>
        <v>2068</v>
      </c>
      <c r="Q272" t="s">
        <v>23</v>
      </c>
      <c r="R272" t="s">
        <v>65</v>
      </c>
      <c r="T272">
        <v>1</v>
      </c>
      <c r="U272" s="19">
        <v>1682</v>
      </c>
      <c r="V272">
        <v>0</v>
      </c>
      <c r="W272" s="19">
        <v>0</v>
      </c>
      <c r="X272">
        <v>0</v>
      </c>
      <c r="Y272" s="19">
        <v>0</v>
      </c>
      <c r="Z272">
        <v>0</v>
      </c>
      <c r="AA272" s="19">
        <v>0</v>
      </c>
      <c r="AB272">
        <v>1</v>
      </c>
      <c r="AC272" s="19">
        <v>917</v>
      </c>
      <c r="AD272">
        <v>0</v>
      </c>
      <c r="AE272" s="19">
        <v>0</v>
      </c>
      <c r="AF272">
        <v>0</v>
      </c>
      <c r="AG272" s="19">
        <v>0</v>
      </c>
      <c r="AH272">
        <v>1</v>
      </c>
      <c r="AI272" s="19">
        <v>214</v>
      </c>
      <c r="AJ272">
        <v>1</v>
      </c>
      <c r="AK272" s="19">
        <v>107</v>
      </c>
      <c r="AL272">
        <v>1</v>
      </c>
      <c r="AM272" s="19">
        <v>214</v>
      </c>
      <c r="AN272">
        <v>1</v>
      </c>
      <c r="AO272" s="19">
        <v>229</v>
      </c>
      <c r="AP272">
        <v>0</v>
      </c>
      <c r="AQ272" s="19">
        <v>0</v>
      </c>
    </row>
    <row r="273" spans="1:43" x14ac:dyDescent="0.35">
      <c r="A273" s="18">
        <v>45561</v>
      </c>
      <c r="B273" t="s">
        <v>58</v>
      </c>
      <c r="C273" t="s">
        <v>53</v>
      </c>
      <c r="D273">
        <v>6</v>
      </c>
      <c r="E273">
        <v>2</v>
      </c>
      <c r="F273">
        <v>4</v>
      </c>
      <c r="G273" s="19">
        <v>3153</v>
      </c>
      <c r="H273" s="19">
        <v>2436</v>
      </c>
      <c r="I273" s="19">
        <v>717</v>
      </c>
      <c r="J273" s="19">
        <v>243</v>
      </c>
      <c r="K273" s="19">
        <v>97</v>
      </c>
      <c r="L273" s="19">
        <v>833</v>
      </c>
      <c r="M273" s="19">
        <v>70</v>
      </c>
      <c r="N273" s="19">
        <v>49</v>
      </c>
      <c r="O273" s="19">
        <f t="shared" si="8"/>
        <v>1292</v>
      </c>
      <c r="P273" s="19">
        <f t="shared" si="9"/>
        <v>1861</v>
      </c>
      <c r="Q273" t="s">
        <v>23</v>
      </c>
      <c r="R273" t="s">
        <v>65</v>
      </c>
      <c r="T273">
        <v>1</v>
      </c>
      <c r="U273" s="19">
        <v>1576</v>
      </c>
      <c r="V273">
        <v>0</v>
      </c>
      <c r="W273" s="19">
        <v>0</v>
      </c>
      <c r="X273">
        <v>0</v>
      </c>
      <c r="Y273" s="19">
        <v>0</v>
      </c>
      <c r="Z273">
        <v>0</v>
      </c>
      <c r="AA273" s="19">
        <v>0</v>
      </c>
      <c r="AB273">
        <v>1</v>
      </c>
      <c r="AC273" s="19">
        <v>860</v>
      </c>
      <c r="AD273">
        <v>0</v>
      </c>
      <c r="AE273" s="19">
        <v>0</v>
      </c>
      <c r="AF273">
        <v>0</v>
      </c>
      <c r="AG273" s="19">
        <v>0</v>
      </c>
      <c r="AH273">
        <v>1</v>
      </c>
      <c r="AI273" s="19">
        <v>201</v>
      </c>
      <c r="AJ273">
        <v>1</v>
      </c>
      <c r="AK273" s="19">
        <v>100</v>
      </c>
      <c r="AL273">
        <v>1</v>
      </c>
      <c r="AM273" s="19">
        <v>201</v>
      </c>
      <c r="AN273">
        <v>1</v>
      </c>
      <c r="AO273" s="19">
        <v>215</v>
      </c>
      <c r="AP273">
        <v>0</v>
      </c>
      <c r="AQ273" s="19">
        <v>0</v>
      </c>
    </row>
    <row r="274" spans="1:43" x14ac:dyDescent="0.35">
      <c r="A274" s="18">
        <v>45562</v>
      </c>
      <c r="B274" t="s">
        <v>59</v>
      </c>
      <c r="C274" t="s">
        <v>53</v>
      </c>
      <c r="D274">
        <v>7</v>
      </c>
      <c r="E274">
        <v>3</v>
      </c>
      <c r="F274">
        <v>4</v>
      </c>
      <c r="G274" s="19">
        <v>3451</v>
      </c>
      <c r="H274" s="19">
        <v>2876</v>
      </c>
      <c r="I274" s="19">
        <v>575</v>
      </c>
      <c r="J274" s="19">
        <v>243</v>
      </c>
      <c r="K274" s="19">
        <v>97</v>
      </c>
      <c r="L274" s="19">
        <v>833</v>
      </c>
      <c r="M274" s="19">
        <v>76</v>
      </c>
      <c r="N274" s="19">
        <v>57</v>
      </c>
      <c r="O274" s="19">
        <f t="shared" si="8"/>
        <v>1306</v>
      </c>
      <c r="P274" s="19">
        <f t="shared" si="9"/>
        <v>2145</v>
      </c>
      <c r="Q274" t="s">
        <v>23</v>
      </c>
      <c r="R274" t="s">
        <v>65</v>
      </c>
      <c r="T274">
        <v>1</v>
      </c>
      <c r="U274" s="19">
        <v>1265</v>
      </c>
      <c r="V274">
        <v>0</v>
      </c>
      <c r="W274" s="19">
        <v>0</v>
      </c>
      <c r="X274">
        <v>0</v>
      </c>
      <c r="Y274" s="19">
        <v>0</v>
      </c>
      <c r="Z274">
        <v>1</v>
      </c>
      <c r="AA274" s="19">
        <v>920</v>
      </c>
      <c r="AB274">
        <v>1</v>
      </c>
      <c r="AC274" s="19">
        <v>690</v>
      </c>
      <c r="AD274">
        <v>0</v>
      </c>
      <c r="AE274" s="19">
        <v>0</v>
      </c>
      <c r="AF274">
        <v>0</v>
      </c>
      <c r="AG274" s="19">
        <v>0</v>
      </c>
      <c r="AH274">
        <v>1</v>
      </c>
      <c r="AI274" s="19">
        <v>161</v>
      </c>
      <c r="AJ274">
        <v>1</v>
      </c>
      <c r="AK274" s="19">
        <v>81</v>
      </c>
      <c r="AL274">
        <v>1</v>
      </c>
      <c r="AM274" s="19">
        <v>161</v>
      </c>
      <c r="AN274">
        <v>1</v>
      </c>
      <c r="AO274" s="19">
        <v>173</v>
      </c>
      <c r="AP274">
        <v>0</v>
      </c>
      <c r="AQ274" s="19">
        <v>0</v>
      </c>
    </row>
    <row r="275" spans="1:43" x14ac:dyDescent="0.35">
      <c r="A275" s="18">
        <v>45563</v>
      </c>
      <c r="B275" t="s">
        <v>60</v>
      </c>
      <c r="C275" t="s">
        <v>61</v>
      </c>
      <c r="D275">
        <v>8</v>
      </c>
      <c r="E275">
        <v>3</v>
      </c>
      <c r="F275">
        <v>5</v>
      </c>
      <c r="G275" s="19">
        <v>4566</v>
      </c>
      <c r="H275" s="19">
        <v>3244</v>
      </c>
      <c r="I275" s="19">
        <v>1322</v>
      </c>
      <c r="J275" s="19">
        <v>243</v>
      </c>
      <c r="K275" s="19">
        <v>97</v>
      </c>
      <c r="L275" s="19">
        <v>833</v>
      </c>
      <c r="M275" s="19">
        <v>101</v>
      </c>
      <c r="N275" s="19">
        <v>65</v>
      </c>
      <c r="O275" s="19">
        <f t="shared" si="8"/>
        <v>1339</v>
      </c>
      <c r="P275" s="19">
        <f t="shared" si="9"/>
        <v>3227</v>
      </c>
      <c r="Q275" t="s">
        <v>23</v>
      </c>
      <c r="R275" t="s">
        <v>65</v>
      </c>
      <c r="T275">
        <v>1</v>
      </c>
      <c r="U275" s="19">
        <v>1939</v>
      </c>
      <c r="V275">
        <v>0</v>
      </c>
      <c r="W275" s="19">
        <v>0</v>
      </c>
      <c r="X275">
        <v>0</v>
      </c>
      <c r="Y275" s="19">
        <v>0</v>
      </c>
      <c r="Z275">
        <v>0</v>
      </c>
      <c r="AA275" s="19">
        <v>0</v>
      </c>
      <c r="AB275">
        <v>1</v>
      </c>
      <c r="AC275" s="19">
        <v>1058</v>
      </c>
      <c r="AD275">
        <v>0</v>
      </c>
      <c r="AE275" s="19">
        <v>0</v>
      </c>
      <c r="AF275">
        <v>0</v>
      </c>
      <c r="AG275" s="19">
        <v>0</v>
      </c>
      <c r="AH275">
        <v>2</v>
      </c>
      <c r="AI275" s="19">
        <v>494</v>
      </c>
      <c r="AJ275">
        <v>1</v>
      </c>
      <c r="AK275" s="19">
        <v>123</v>
      </c>
      <c r="AL275">
        <v>1</v>
      </c>
      <c r="AM275" s="19">
        <v>247</v>
      </c>
      <c r="AN275">
        <v>1</v>
      </c>
      <c r="AO275" s="19">
        <v>264</v>
      </c>
      <c r="AP275">
        <v>1</v>
      </c>
      <c r="AQ275" s="19">
        <v>441</v>
      </c>
    </row>
    <row r="276" spans="1:43" x14ac:dyDescent="0.35">
      <c r="A276" s="18">
        <v>45564</v>
      </c>
      <c r="B276" t="s">
        <v>62</v>
      </c>
      <c r="C276" t="s">
        <v>61</v>
      </c>
      <c r="D276">
        <v>7</v>
      </c>
      <c r="E276">
        <v>2</v>
      </c>
      <c r="F276">
        <v>5</v>
      </c>
      <c r="G276" s="19">
        <v>3609</v>
      </c>
      <c r="H276" s="19">
        <v>2504</v>
      </c>
      <c r="I276" s="19">
        <v>1105</v>
      </c>
      <c r="J276" s="19">
        <v>243</v>
      </c>
      <c r="K276" s="19">
        <v>97</v>
      </c>
      <c r="L276" s="19">
        <v>833</v>
      </c>
      <c r="M276" s="19">
        <v>80</v>
      </c>
      <c r="N276" s="19">
        <v>57</v>
      </c>
      <c r="O276" s="19">
        <f t="shared" si="8"/>
        <v>1310</v>
      </c>
      <c r="P276" s="19">
        <f t="shared" si="9"/>
        <v>2299</v>
      </c>
      <c r="Q276" t="s">
        <v>23</v>
      </c>
      <c r="R276" t="s">
        <v>65</v>
      </c>
      <c r="T276">
        <v>1</v>
      </c>
      <c r="U276" s="19">
        <v>1620</v>
      </c>
      <c r="V276">
        <v>0</v>
      </c>
      <c r="W276" s="19">
        <v>0</v>
      </c>
      <c r="X276">
        <v>0</v>
      </c>
      <c r="Y276" s="19">
        <v>0</v>
      </c>
      <c r="Z276">
        <v>0</v>
      </c>
      <c r="AA276" s="19">
        <v>0</v>
      </c>
      <c r="AB276">
        <v>1</v>
      </c>
      <c r="AC276" s="19">
        <v>884</v>
      </c>
      <c r="AD276">
        <v>0</v>
      </c>
      <c r="AE276" s="19">
        <v>0</v>
      </c>
      <c r="AF276">
        <v>0</v>
      </c>
      <c r="AG276" s="19">
        <v>0</v>
      </c>
      <c r="AH276">
        <v>1</v>
      </c>
      <c r="AI276" s="19">
        <v>206</v>
      </c>
      <c r="AJ276">
        <v>1</v>
      </c>
      <c r="AK276" s="19">
        <v>103</v>
      </c>
      <c r="AL276">
        <v>1</v>
      </c>
      <c r="AM276" s="19">
        <v>206</v>
      </c>
      <c r="AN276">
        <v>1</v>
      </c>
      <c r="AO276" s="19">
        <v>221</v>
      </c>
      <c r="AP276">
        <v>1</v>
      </c>
      <c r="AQ276" s="19">
        <v>368</v>
      </c>
    </row>
    <row r="277" spans="1:43" x14ac:dyDescent="0.35">
      <c r="A277" s="18">
        <v>45565</v>
      </c>
      <c r="B277" t="s">
        <v>52</v>
      </c>
      <c r="C277" t="s">
        <v>53</v>
      </c>
      <c r="D277">
        <v>5</v>
      </c>
      <c r="E277">
        <v>1</v>
      </c>
      <c r="F277">
        <v>4</v>
      </c>
      <c r="G277" s="19">
        <v>2916</v>
      </c>
      <c r="H277" s="19">
        <v>1591</v>
      </c>
      <c r="I277" s="19">
        <v>1325</v>
      </c>
      <c r="J277" s="19">
        <v>243</v>
      </c>
      <c r="K277" s="19">
        <v>97</v>
      </c>
      <c r="L277" s="19">
        <v>833</v>
      </c>
      <c r="M277" s="19">
        <v>64</v>
      </c>
      <c r="N277" s="19">
        <v>40</v>
      </c>
      <c r="O277" s="19">
        <f t="shared" si="8"/>
        <v>1277</v>
      </c>
      <c r="P277" s="19">
        <f t="shared" si="9"/>
        <v>1639</v>
      </c>
      <c r="Q277" t="s">
        <v>27</v>
      </c>
      <c r="R277" t="s">
        <v>65</v>
      </c>
      <c r="T277">
        <v>0</v>
      </c>
      <c r="U277" s="19">
        <v>0</v>
      </c>
      <c r="V277">
        <v>0</v>
      </c>
      <c r="W277" s="19">
        <v>0</v>
      </c>
      <c r="X277">
        <v>0</v>
      </c>
      <c r="Y277" s="19">
        <v>0</v>
      </c>
      <c r="Z277">
        <v>0</v>
      </c>
      <c r="AA277" s="19">
        <v>0</v>
      </c>
      <c r="AB277">
        <v>1</v>
      </c>
      <c r="AC277" s="19">
        <v>1591</v>
      </c>
      <c r="AD277">
        <v>0</v>
      </c>
      <c r="AE277" s="19">
        <v>0</v>
      </c>
      <c r="AF277">
        <v>0</v>
      </c>
      <c r="AG277" s="19">
        <v>0</v>
      </c>
      <c r="AH277">
        <v>1</v>
      </c>
      <c r="AI277" s="19">
        <v>371</v>
      </c>
      <c r="AJ277">
        <v>1</v>
      </c>
      <c r="AK277" s="19">
        <v>186</v>
      </c>
      <c r="AL277">
        <v>1</v>
      </c>
      <c r="AM277" s="19">
        <v>371</v>
      </c>
      <c r="AN277">
        <v>1</v>
      </c>
      <c r="AO277" s="19">
        <v>398</v>
      </c>
      <c r="AP277">
        <v>0</v>
      </c>
      <c r="AQ277" s="19">
        <v>0</v>
      </c>
    </row>
    <row r="278" spans="1:43" x14ac:dyDescent="0.35">
      <c r="A278" s="18">
        <v>45566</v>
      </c>
      <c r="B278" t="s">
        <v>56</v>
      </c>
      <c r="C278" t="s">
        <v>53</v>
      </c>
      <c r="D278">
        <v>7</v>
      </c>
      <c r="E278">
        <v>2</v>
      </c>
      <c r="F278">
        <v>5</v>
      </c>
      <c r="G278" s="19">
        <v>3655</v>
      </c>
      <c r="H278" s="19">
        <v>2536</v>
      </c>
      <c r="I278" s="19">
        <v>1119</v>
      </c>
      <c r="J278" s="19">
        <v>235</v>
      </c>
      <c r="K278" s="19">
        <v>97</v>
      </c>
      <c r="L278" s="19">
        <v>806</v>
      </c>
      <c r="M278" s="19">
        <v>81</v>
      </c>
      <c r="N278" s="19">
        <v>57</v>
      </c>
      <c r="O278" s="19">
        <f t="shared" si="8"/>
        <v>1276</v>
      </c>
      <c r="P278" s="19">
        <f t="shared" si="9"/>
        <v>2379</v>
      </c>
      <c r="Q278" t="s">
        <v>23</v>
      </c>
      <c r="R278" t="s">
        <v>63</v>
      </c>
      <c r="T278">
        <v>1</v>
      </c>
      <c r="U278" s="19">
        <v>1641</v>
      </c>
      <c r="V278">
        <v>0</v>
      </c>
      <c r="W278" s="19">
        <v>0</v>
      </c>
      <c r="X278">
        <v>0</v>
      </c>
      <c r="Y278" s="19">
        <v>0</v>
      </c>
      <c r="Z278">
        <v>0</v>
      </c>
      <c r="AA278" s="19">
        <v>0</v>
      </c>
      <c r="AB278">
        <v>1</v>
      </c>
      <c r="AC278" s="19">
        <v>895</v>
      </c>
      <c r="AD278">
        <v>0</v>
      </c>
      <c r="AE278" s="19">
        <v>0</v>
      </c>
      <c r="AF278">
        <v>0</v>
      </c>
      <c r="AG278" s="19">
        <v>0</v>
      </c>
      <c r="AH278">
        <v>1</v>
      </c>
      <c r="AI278" s="19">
        <v>209</v>
      </c>
      <c r="AJ278">
        <v>1</v>
      </c>
      <c r="AK278" s="19">
        <v>104</v>
      </c>
      <c r="AL278">
        <v>1</v>
      </c>
      <c r="AM278" s="19">
        <v>209</v>
      </c>
      <c r="AN278">
        <v>1</v>
      </c>
      <c r="AO278" s="19">
        <v>224</v>
      </c>
      <c r="AP278">
        <v>1</v>
      </c>
      <c r="AQ278" s="19">
        <v>373</v>
      </c>
    </row>
    <row r="279" spans="1:43" x14ac:dyDescent="0.35">
      <c r="A279" s="18">
        <v>45567</v>
      </c>
      <c r="B279" t="s">
        <v>57</v>
      </c>
      <c r="C279" t="s">
        <v>53</v>
      </c>
      <c r="D279">
        <v>7</v>
      </c>
      <c r="E279">
        <v>3</v>
      </c>
      <c r="F279">
        <v>4</v>
      </c>
      <c r="G279" s="19">
        <v>3614</v>
      </c>
      <c r="H279" s="19">
        <v>3012</v>
      </c>
      <c r="I279" s="19">
        <v>602</v>
      </c>
      <c r="J279" s="19">
        <v>235</v>
      </c>
      <c r="K279" s="19">
        <v>97</v>
      </c>
      <c r="L279" s="19">
        <v>806</v>
      </c>
      <c r="M279" s="19">
        <v>80</v>
      </c>
      <c r="N279" s="19">
        <v>57</v>
      </c>
      <c r="O279" s="19">
        <f t="shared" si="8"/>
        <v>1275</v>
      </c>
      <c r="P279" s="19">
        <f t="shared" si="9"/>
        <v>2339</v>
      </c>
      <c r="Q279" t="s">
        <v>23</v>
      </c>
      <c r="R279" t="s">
        <v>63</v>
      </c>
      <c r="T279">
        <v>1</v>
      </c>
      <c r="U279" s="19">
        <v>1325</v>
      </c>
      <c r="V279">
        <v>0</v>
      </c>
      <c r="W279" s="19">
        <v>0</v>
      </c>
      <c r="X279">
        <v>0</v>
      </c>
      <c r="Y279" s="19">
        <v>0</v>
      </c>
      <c r="Z279">
        <v>1</v>
      </c>
      <c r="AA279" s="19">
        <v>964</v>
      </c>
      <c r="AB279">
        <v>1</v>
      </c>
      <c r="AC279" s="19">
        <v>723</v>
      </c>
      <c r="AD279">
        <v>0</v>
      </c>
      <c r="AE279" s="19">
        <v>0</v>
      </c>
      <c r="AF279">
        <v>0</v>
      </c>
      <c r="AG279" s="19">
        <v>0</v>
      </c>
      <c r="AH279">
        <v>1</v>
      </c>
      <c r="AI279" s="19">
        <v>169</v>
      </c>
      <c r="AJ279">
        <v>1</v>
      </c>
      <c r="AK279" s="19">
        <v>84</v>
      </c>
      <c r="AL279">
        <v>1</v>
      </c>
      <c r="AM279" s="19">
        <v>169</v>
      </c>
      <c r="AN279">
        <v>1</v>
      </c>
      <c r="AO279" s="19">
        <v>181</v>
      </c>
      <c r="AP279">
        <v>0</v>
      </c>
      <c r="AQ279" s="19">
        <v>0</v>
      </c>
    </row>
    <row r="280" spans="1:43" x14ac:dyDescent="0.35">
      <c r="A280" s="18">
        <v>45568</v>
      </c>
      <c r="B280" t="s">
        <v>58</v>
      </c>
      <c r="C280" t="s">
        <v>53</v>
      </c>
      <c r="D280">
        <v>7</v>
      </c>
      <c r="E280">
        <v>2</v>
      </c>
      <c r="F280">
        <v>5</v>
      </c>
      <c r="G280" s="19">
        <v>3799</v>
      </c>
      <c r="H280" s="19">
        <v>2636</v>
      </c>
      <c r="I280" s="19">
        <v>1163</v>
      </c>
      <c r="J280" s="19">
        <v>235</v>
      </c>
      <c r="K280" s="19">
        <v>97</v>
      </c>
      <c r="L280" s="19">
        <v>806</v>
      </c>
      <c r="M280" s="19">
        <v>84</v>
      </c>
      <c r="N280" s="19">
        <v>57</v>
      </c>
      <c r="O280" s="19">
        <f t="shared" si="8"/>
        <v>1279</v>
      </c>
      <c r="P280" s="19">
        <f t="shared" si="9"/>
        <v>2520</v>
      </c>
      <c r="Q280" t="s">
        <v>23</v>
      </c>
      <c r="R280" t="s">
        <v>63</v>
      </c>
      <c r="T280">
        <v>1</v>
      </c>
      <c r="U280" s="19">
        <v>1706</v>
      </c>
      <c r="V280">
        <v>0</v>
      </c>
      <c r="W280" s="19">
        <v>0</v>
      </c>
      <c r="X280">
        <v>0</v>
      </c>
      <c r="Y280" s="19">
        <v>0</v>
      </c>
      <c r="Z280">
        <v>0</v>
      </c>
      <c r="AA280" s="19">
        <v>0</v>
      </c>
      <c r="AB280">
        <v>1</v>
      </c>
      <c r="AC280" s="19">
        <v>930</v>
      </c>
      <c r="AD280">
        <v>0</v>
      </c>
      <c r="AE280" s="19">
        <v>0</v>
      </c>
      <c r="AF280">
        <v>0</v>
      </c>
      <c r="AG280" s="19">
        <v>0</v>
      </c>
      <c r="AH280">
        <v>1</v>
      </c>
      <c r="AI280" s="19">
        <v>217</v>
      </c>
      <c r="AJ280">
        <v>1</v>
      </c>
      <c r="AK280" s="19">
        <v>109</v>
      </c>
      <c r="AL280">
        <v>1</v>
      </c>
      <c r="AM280" s="19">
        <v>217</v>
      </c>
      <c r="AN280">
        <v>1</v>
      </c>
      <c r="AO280" s="19">
        <v>233</v>
      </c>
      <c r="AP280">
        <v>1</v>
      </c>
      <c r="AQ280" s="19">
        <v>388</v>
      </c>
    </row>
    <row r="281" spans="1:43" x14ac:dyDescent="0.35">
      <c r="A281" s="18">
        <v>45569</v>
      </c>
      <c r="B281" t="s">
        <v>59</v>
      </c>
      <c r="C281" t="s">
        <v>53</v>
      </c>
      <c r="D281">
        <v>7</v>
      </c>
      <c r="E281">
        <v>2</v>
      </c>
      <c r="F281">
        <v>5</v>
      </c>
      <c r="G281" s="19">
        <v>3662</v>
      </c>
      <c r="H281" s="19">
        <v>2541</v>
      </c>
      <c r="I281" s="19">
        <v>1121</v>
      </c>
      <c r="J281" s="19">
        <v>235</v>
      </c>
      <c r="K281" s="19">
        <v>97</v>
      </c>
      <c r="L281" s="19">
        <v>806</v>
      </c>
      <c r="M281" s="19">
        <v>81</v>
      </c>
      <c r="N281" s="19">
        <v>57</v>
      </c>
      <c r="O281" s="19">
        <f t="shared" si="8"/>
        <v>1276</v>
      </c>
      <c r="P281" s="19">
        <f t="shared" si="9"/>
        <v>2386</v>
      </c>
      <c r="Q281" t="s">
        <v>23</v>
      </c>
      <c r="R281" t="s">
        <v>63</v>
      </c>
      <c r="T281">
        <v>1</v>
      </c>
      <c r="U281" s="19">
        <v>1644</v>
      </c>
      <c r="V281">
        <v>0</v>
      </c>
      <c r="W281" s="19">
        <v>0</v>
      </c>
      <c r="X281">
        <v>0</v>
      </c>
      <c r="Y281" s="19">
        <v>0</v>
      </c>
      <c r="Z281">
        <v>0</v>
      </c>
      <c r="AA281" s="19">
        <v>0</v>
      </c>
      <c r="AB281">
        <v>1</v>
      </c>
      <c r="AC281" s="19">
        <v>897</v>
      </c>
      <c r="AD281">
        <v>0</v>
      </c>
      <c r="AE281" s="19">
        <v>0</v>
      </c>
      <c r="AF281">
        <v>0</v>
      </c>
      <c r="AG281" s="19">
        <v>0</v>
      </c>
      <c r="AH281">
        <v>1</v>
      </c>
      <c r="AI281" s="19">
        <v>209</v>
      </c>
      <c r="AJ281">
        <v>1</v>
      </c>
      <c r="AK281" s="19">
        <v>105</v>
      </c>
      <c r="AL281">
        <v>1</v>
      </c>
      <c r="AM281" s="19">
        <v>209</v>
      </c>
      <c r="AN281">
        <v>1</v>
      </c>
      <c r="AO281" s="19">
        <v>224</v>
      </c>
      <c r="AP281">
        <v>1</v>
      </c>
      <c r="AQ281" s="19">
        <v>374</v>
      </c>
    </row>
    <row r="282" spans="1:43" x14ac:dyDescent="0.35">
      <c r="A282" s="18">
        <v>45570</v>
      </c>
      <c r="B282" t="s">
        <v>60</v>
      </c>
      <c r="C282" t="s">
        <v>61</v>
      </c>
      <c r="D282">
        <v>9</v>
      </c>
      <c r="E282">
        <v>4</v>
      </c>
      <c r="F282">
        <v>5</v>
      </c>
      <c r="G282" s="19">
        <v>5015</v>
      </c>
      <c r="H282" s="19">
        <v>3905</v>
      </c>
      <c r="I282" s="19">
        <v>1110</v>
      </c>
      <c r="J282" s="19">
        <v>235</v>
      </c>
      <c r="K282" s="19">
        <v>97</v>
      </c>
      <c r="L282" s="19">
        <v>806</v>
      </c>
      <c r="M282" s="19">
        <v>111</v>
      </c>
      <c r="N282" s="19">
        <v>73</v>
      </c>
      <c r="O282" s="19">
        <f t="shared" si="8"/>
        <v>1322</v>
      </c>
      <c r="P282" s="19">
        <f t="shared" si="9"/>
        <v>3693</v>
      </c>
      <c r="Q282" t="s">
        <v>23</v>
      </c>
      <c r="R282" t="s">
        <v>63</v>
      </c>
      <c r="T282">
        <v>1</v>
      </c>
      <c r="U282" s="19">
        <v>1627</v>
      </c>
      <c r="V282">
        <v>0</v>
      </c>
      <c r="W282" s="19">
        <v>0</v>
      </c>
      <c r="X282">
        <v>0</v>
      </c>
      <c r="Y282" s="19">
        <v>0</v>
      </c>
      <c r="Z282">
        <v>1</v>
      </c>
      <c r="AA282" s="19">
        <v>1183</v>
      </c>
      <c r="AB282">
        <v>1</v>
      </c>
      <c r="AC282" s="19">
        <v>888</v>
      </c>
      <c r="AD282">
        <v>0</v>
      </c>
      <c r="AE282" s="19">
        <v>0</v>
      </c>
      <c r="AF282">
        <v>0</v>
      </c>
      <c r="AG282" s="19">
        <v>0</v>
      </c>
      <c r="AH282">
        <v>2</v>
      </c>
      <c r="AI282" s="19">
        <v>414</v>
      </c>
      <c r="AJ282">
        <v>1</v>
      </c>
      <c r="AK282" s="19">
        <v>104</v>
      </c>
      <c r="AL282">
        <v>1</v>
      </c>
      <c r="AM282" s="19">
        <v>207</v>
      </c>
      <c r="AN282">
        <v>1</v>
      </c>
      <c r="AO282" s="19">
        <v>222</v>
      </c>
      <c r="AP282">
        <v>1</v>
      </c>
      <c r="AQ282" s="19">
        <v>370</v>
      </c>
    </row>
    <row r="283" spans="1:43" x14ac:dyDescent="0.35">
      <c r="A283" s="18">
        <v>45571</v>
      </c>
      <c r="B283" t="s">
        <v>62</v>
      </c>
      <c r="C283" t="s">
        <v>61</v>
      </c>
      <c r="D283">
        <v>8</v>
      </c>
      <c r="E283">
        <v>3</v>
      </c>
      <c r="F283">
        <v>5</v>
      </c>
      <c r="G283" s="19">
        <v>4280</v>
      </c>
      <c r="H283" s="19">
        <v>3041</v>
      </c>
      <c r="I283" s="19">
        <v>1239</v>
      </c>
      <c r="J283" s="19">
        <v>235</v>
      </c>
      <c r="K283" s="19">
        <v>97</v>
      </c>
      <c r="L283" s="19">
        <v>806</v>
      </c>
      <c r="M283" s="19">
        <v>94</v>
      </c>
      <c r="N283" s="19">
        <v>65</v>
      </c>
      <c r="O283" s="19">
        <f t="shared" si="8"/>
        <v>1297</v>
      </c>
      <c r="P283" s="19">
        <f t="shared" si="9"/>
        <v>2983</v>
      </c>
      <c r="Q283" t="s">
        <v>23</v>
      </c>
      <c r="R283" t="s">
        <v>63</v>
      </c>
      <c r="T283">
        <v>1</v>
      </c>
      <c r="U283" s="19">
        <v>1818</v>
      </c>
      <c r="V283">
        <v>0</v>
      </c>
      <c r="W283" s="19">
        <v>0</v>
      </c>
      <c r="X283">
        <v>0</v>
      </c>
      <c r="Y283" s="19">
        <v>0</v>
      </c>
      <c r="Z283">
        <v>0</v>
      </c>
      <c r="AA283" s="19">
        <v>0</v>
      </c>
      <c r="AB283">
        <v>1</v>
      </c>
      <c r="AC283" s="19">
        <v>992</v>
      </c>
      <c r="AD283">
        <v>0</v>
      </c>
      <c r="AE283" s="19">
        <v>0</v>
      </c>
      <c r="AF283">
        <v>0</v>
      </c>
      <c r="AG283" s="19">
        <v>0</v>
      </c>
      <c r="AH283">
        <v>2</v>
      </c>
      <c r="AI283" s="19">
        <v>463</v>
      </c>
      <c r="AJ283">
        <v>1</v>
      </c>
      <c r="AK283" s="19">
        <v>116</v>
      </c>
      <c r="AL283">
        <v>1</v>
      </c>
      <c r="AM283" s="19">
        <v>231</v>
      </c>
      <c r="AN283">
        <v>1</v>
      </c>
      <c r="AO283" s="19">
        <v>248</v>
      </c>
      <c r="AP283">
        <v>1</v>
      </c>
      <c r="AQ283" s="19">
        <v>413</v>
      </c>
    </row>
    <row r="284" spans="1:43" x14ac:dyDescent="0.35">
      <c r="A284" s="18">
        <v>45572</v>
      </c>
      <c r="B284" t="s">
        <v>52</v>
      </c>
      <c r="C284" t="s">
        <v>53</v>
      </c>
      <c r="D284">
        <v>6</v>
      </c>
      <c r="E284">
        <v>2</v>
      </c>
      <c r="F284">
        <v>4</v>
      </c>
      <c r="G284" s="19">
        <v>3412</v>
      </c>
      <c r="H284" s="19">
        <v>2637</v>
      </c>
      <c r="I284" s="19">
        <v>775</v>
      </c>
      <c r="J284" s="19">
        <v>235</v>
      </c>
      <c r="K284" s="19">
        <v>97</v>
      </c>
      <c r="L284" s="19">
        <v>806</v>
      </c>
      <c r="M284" s="19">
        <v>75</v>
      </c>
      <c r="N284" s="19">
        <v>49</v>
      </c>
      <c r="O284" s="19">
        <f t="shared" si="8"/>
        <v>1262</v>
      </c>
      <c r="P284" s="19">
        <f t="shared" si="9"/>
        <v>2150</v>
      </c>
      <c r="Q284" t="s">
        <v>23</v>
      </c>
      <c r="R284" t="s">
        <v>63</v>
      </c>
      <c r="T284">
        <v>1</v>
      </c>
      <c r="U284" s="19">
        <v>1706</v>
      </c>
      <c r="V284">
        <v>0</v>
      </c>
      <c r="W284" s="19">
        <v>0</v>
      </c>
      <c r="X284">
        <v>0</v>
      </c>
      <c r="Y284" s="19">
        <v>0</v>
      </c>
      <c r="Z284">
        <v>0</v>
      </c>
      <c r="AA284" s="19">
        <v>0</v>
      </c>
      <c r="AB284">
        <v>1</v>
      </c>
      <c r="AC284" s="19">
        <v>931</v>
      </c>
      <c r="AD284">
        <v>0</v>
      </c>
      <c r="AE284" s="19">
        <v>0</v>
      </c>
      <c r="AF284">
        <v>0</v>
      </c>
      <c r="AG284" s="19">
        <v>0</v>
      </c>
      <c r="AH284">
        <v>1</v>
      </c>
      <c r="AI284" s="19">
        <v>217</v>
      </c>
      <c r="AJ284">
        <v>1</v>
      </c>
      <c r="AK284" s="19">
        <v>109</v>
      </c>
      <c r="AL284">
        <v>1</v>
      </c>
      <c r="AM284" s="19">
        <v>217</v>
      </c>
      <c r="AN284">
        <v>1</v>
      </c>
      <c r="AO284" s="19">
        <v>233</v>
      </c>
      <c r="AP284">
        <v>0</v>
      </c>
      <c r="AQ284" s="19">
        <v>0</v>
      </c>
    </row>
    <row r="285" spans="1:43" x14ac:dyDescent="0.35">
      <c r="A285" s="18">
        <v>45573</v>
      </c>
      <c r="B285" t="s">
        <v>56</v>
      </c>
      <c r="C285" t="s">
        <v>53</v>
      </c>
      <c r="D285">
        <v>6</v>
      </c>
      <c r="E285">
        <v>2</v>
      </c>
      <c r="F285">
        <v>4</v>
      </c>
      <c r="G285" s="19">
        <v>3395</v>
      </c>
      <c r="H285" s="19">
        <v>2623</v>
      </c>
      <c r="I285" s="19">
        <v>772</v>
      </c>
      <c r="J285" s="19">
        <v>235</v>
      </c>
      <c r="K285" s="19">
        <v>97</v>
      </c>
      <c r="L285" s="19">
        <v>806</v>
      </c>
      <c r="M285" s="19">
        <v>75</v>
      </c>
      <c r="N285" s="19">
        <v>49</v>
      </c>
      <c r="O285" s="19">
        <f t="shared" si="8"/>
        <v>1262</v>
      </c>
      <c r="P285" s="19">
        <f t="shared" si="9"/>
        <v>2133</v>
      </c>
      <c r="Q285" t="s">
        <v>23</v>
      </c>
      <c r="R285" t="s">
        <v>63</v>
      </c>
      <c r="T285">
        <v>1</v>
      </c>
      <c r="U285" s="19">
        <v>1698</v>
      </c>
      <c r="V285">
        <v>0</v>
      </c>
      <c r="W285" s="19">
        <v>0</v>
      </c>
      <c r="X285">
        <v>0</v>
      </c>
      <c r="Y285" s="19">
        <v>0</v>
      </c>
      <c r="Z285">
        <v>0</v>
      </c>
      <c r="AA285" s="19">
        <v>0</v>
      </c>
      <c r="AB285">
        <v>1</v>
      </c>
      <c r="AC285" s="19">
        <v>926</v>
      </c>
      <c r="AD285">
        <v>0</v>
      </c>
      <c r="AE285" s="19">
        <v>0</v>
      </c>
      <c r="AF285">
        <v>0</v>
      </c>
      <c r="AG285" s="19">
        <v>0</v>
      </c>
      <c r="AH285">
        <v>1</v>
      </c>
      <c r="AI285" s="19">
        <v>216</v>
      </c>
      <c r="AJ285">
        <v>1</v>
      </c>
      <c r="AK285" s="19">
        <v>108</v>
      </c>
      <c r="AL285">
        <v>1</v>
      </c>
      <c r="AM285" s="19">
        <v>216</v>
      </c>
      <c r="AN285">
        <v>1</v>
      </c>
      <c r="AO285" s="19">
        <v>231</v>
      </c>
      <c r="AP285">
        <v>0</v>
      </c>
      <c r="AQ285" s="19">
        <v>0</v>
      </c>
    </row>
    <row r="286" spans="1:43" x14ac:dyDescent="0.35">
      <c r="A286" s="18">
        <v>45574</v>
      </c>
      <c r="B286" t="s">
        <v>57</v>
      </c>
      <c r="C286" t="s">
        <v>53</v>
      </c>
      <c r="D286">
        <v>7</v>
      </c>
      <c r="E286">
        <v>2</v>
      </c>
      <c r="F286">
        <v>5</v>
      </c>
      <c r="G286" s="19">
        <v>3569</v>
      </c>
      <c r="H286" s="19">
        <v>2476</v>
      </c>
      <c r="I286" s="19">
        <v>1093</v>
      </c>
      <c r="J286" s="19">
        <v>235</v>
      </c>
      <c r="K286" s="19">
        <v>97</v>
      </c>
      <c r="L286" s="19">
        <v>806</v>
      </c>
      <c r="M286" s="19">
        <v>79</v>
      </c>
      <c r="N286" s="19">
        <v>57</v>
      </c>
      <c r="O286" s="19">
        <f t="shared" si="8"/>
        <v>1274</v>
      </c>
      <c r="P286" s="19">
        <f t="shared" si="9"/>
        <v>2295</v>
      </c>
      <c r="Q286" t="s">
        <v>23</v>
      </c>
      <c r="R286" t="s">
        <v>63</v>
      </c>
      <c r="T286">
        <v>1</v>
      </c>
      <c r="U286" s="19">
        <v>1602</v>
      </c>
      <c r="V286">
        <v>0</v>
      </c>
      <c r="W286" s="19">
        <v>0</v>
      </c>
      <c r="X286">
        <v>0</v>
      </c>
      <c r="Y286" s="19">
        <v>0</v>
      </c>
      <c r="Z286">
        <v>0</v>
      </c>
      <c r="AA286" s="19">
        <v>0</v>
      </c>
      <c r="AB286">
        <v>1</v>
      </c>
      <c r="AC286" s="19">
        <v>874</v>
      </c>
      <c r="AD286">
        <v>0</v>
      </c>
      <c r="AE286" s="19">
        <v>0</v>
      </c>
      <c r="AF286">
        <v>0</v>
      </c>
      <c r="AG286" s="19">
        <v>0</v>
      </c>
      <c r="AH286">
        <v>1</v>
      </c>
      <c r="AI286" s="19">
        <v>204</v>
      </c>
      <c r="AJ286">
        <v>1</v>
      </c>
      <c r="AK286" s="19">
        <v>102</v>
      </c>
      <c r="AL286">
        <v>1</v>
      </c>
      <c r="AM286" s="19">
        <v>204</v>
      </c>
      <c r="AN286">
        <v>1</v>
      </c>
      <c r="AO286" s="19">
        <v>219</v>
      </c>
      <c r="AP286">
        <v>1</v>
      </c>
      <c r="AQ286" s="19">
        <v>364</v>
      </c>
    </row>
    <row r="287" spans="1:43" x14ac:dyDescent="0.35">
      <c r="A287" s="18">
        <v>45575</v>
      </c>
      <c r="B287" t="s">
        <v>58</v>
      </c>
      <c r="C287" t="s">
        <v>53</v>
      </c>
      <c r="D287">
        <v>7</v>
      </c>
      <c r="E287">
        <v>3</v>
      </c>
      <c r="F287">
        <v>4</v>
      </c>
      <c r="G287" s="19">
        <v>3926</v>
      </c>
      <c r="H287" s="19">
        <v>3272</v>
      </c>
      <c r="I287" s="19">
        <v>654</v>
      </c>
      <c r="J287" s="19">
        <v>235</v>
      </c>
      <c r="K287" s="19">
        <v>97</v>
      </c>
      <c r="L287" s="19">
        <v>806</v>
      </c>
      <c r="M287" s="19">
        <v>87</v>
      </c>
      <c r="N287" s="19">
        <v>57</v>
      </c>
      <c r="O287" s="19">
        <f t="shared" si="8"/>
        <v>1282</v>
      </c>
      <c r="P287" s="19">
        <f t="shared" si="9"/>
        <v>2644</v>
      </c>
      <c r="Q287" t="s">
        <v>23</v>
      </c>
      <c r="R287" t="s">
        <v>63</v>
      </c>
      <c r="T287">
        <v>1</v>
      </c>
      <c r="U287" s="19">
        <v>1440</v>
      </c>
      <c r="V287">
        <v>0</v>
      </c>
      <c r="W287" s="19">
        <v>0</v>
      </c>
      <c r="X287">
        <v>0</v>
      </c>
      <c r="Y287" s="19">
        <v>0</v>
      </c>
      <c r="Z287">
        <v>1</v>
      </c>
      <c r="AA287" s="19">
        <v>1047</v>
      </c>
      <c r="AB287">
        <v>1</v>
      </c>
      <c r="AC287" s="19">
        <v>785</v>
      </c>
      <c r="AD287">
        <v>0</v>
      </c>
      <c r="AE287" s="19">
        <v>0</v>
      </c>
      <c r="AF287">
        <v>0</v>
      </c>
      <c r="AG287" s="19">
        <v>0</v>
      </c>
      <c r="AH287">
        <v>1</v>
      </c>
      <c r="AI287" s="19">
        <v>183</v>
      </c>
      <c r="AJ287">
        <v>1</v>
      </c>
      <c r="AK287" s="19">
        <v>92</v>
      </c>
      <c r="AL287">
        <v>1</v>
      </c>
      <c r="AM287" s="19">
        <v>183</v>
      </c>
      <c r="AN287">
        <v>1</v>
      </c>
      <c r="AO287" s="19">
        <v>196</v>
      </c>
      <c r="AP287">
        <v>0</v>
      </c>
      <c r="AQ287" s="19">
        <v>0</v>
      </c>
    </row>
    <row r="288" spans="1:43" x14ac:dyDescent="0.35">
      <c r="A288" s="18">
        <v>45576</v>
      </c>
      <c r="B288" t="s">
        <v>59</v>
      </c>
      <c r="C288" t="s">
        <v>53</v>
      </c>
      <c r="D288">
        <v>7</v>
      </c>
      <c r="E288">
        <v>2</v>
      </c>
      <c r="F288">
        <v>5</v>
      </c>
      <c r="G288" s="19">
        <v>3705</v>
      </c>
      <c r="H288" s="19">
        <v>2571</v>
      </c>
      <c r="I288" s="19">
        <v>1134</v>
      </c>
      <c r="J288" s="19">
        <v>235</v>
      </c>
      <c r="K288" s="19">
        <v>97</v>
      </c>
      <c r="L288" s="19">
        <v>806</v>
      </c>
      <c r="M288" s="19">
        <v>82</v>
      </c>
      <c r="N288" s="19">
        <v>57</v>
      </c>
      <c r="O288" s="19">
        <f t="shared" si="8"/>
        <v>1277</v>
      </c>
      <c r="P288" s="19">
        <f t="shared" si="9"/>
        <v>2428</v>
      </c>
      <c r="Q288" t="s">
        <v>23</v>
      </c>
      <c r="R288" t="s">
        <v>63</v>
      </c>
      <c r="T288">
        <v>1</v>
      </c>
      <c r="U288" s="19">
        <v>1663</v>
      </c>
      <c r="V288">
        <v>0</v>
      </c>
      <c r="W288" s="19">
        <v>0</v>
      </c>
      <c r="X288">
        <v>0</v>
      </c>
      <c r="Y288" s="19">
        <v>0</v>
      </c>
      <c r="Z288">
        <v>0</v>
      </c>
      <c r="AA288" s="19">
        <v>0</v>
      </c>
      <c r="AB288">
        <v>1</v>
      </c>
      <c r="AC288" s="19">
        <v>907</v>
      </c>
      <c r="AD288">
        <v>0</v>
      </c>
      <c r="AE288" s="19">
        <v>0</v>
      </c>
      <c r="AF288">
        <v>0</v>
      </c>
      <c r="AG288" s="19">
        <v>0</v>
      </c>
      <c r="AH288">
        <v>1</v>
      </c>
      <c r="AI288" s="19">
        <v>212</v>
      </c>
      <c r="AJ288">
        <v>1</v>
      </c>
      <c r="AK288" s="19">
        <v>106</v>
      </c>
      <c r="AL288">
        <v>1</v>
      </c>
      <c r="AM288" s="19">
        <v>212</v>
      </c>
      <c r="AN288">
        <v>1</v>
      </c>
      <c r="AO288" s="19">
        <v>227</v>
      </c>
      <c r="AP288">
        <v>1</v>
      </c>
      <c r="AQ288" s="19">
        <v>378</v>
      </c>
    </row>
    <row r="289" spans="1:43" x14ac:dyDescent="0.35">
      <c r="A289" s="18">
        <v>45577</v>
      </c>
      <c r="B289" t="s">
        <v>60</v>
      </c>
      <c r="C289" t="s">
        <v>61</v>
      </c>
      <c r="D289">
        <v>9</v>
      </c>
      <c r="E289">
        <v>4</v>
      </c>
      <c r="F289">
        <v>5</v>
      </c>
      <c r="G289" s="19">
        <v>4938</v>
      </c>
      <c r="H289" s="19">
        <v>3846</v>
      </c>
      <c r="I289" s="19">
        <v>1092</v>
      </c>
      <c r="J289" s="19">
        <v>235</v>
      </c>
      <c r="K289" s="19">
        <v>97</v>
      </c>
      <c r="L289" s="19">
        <v>806</v>
      </c>
      <c r="M289" s="19">
        <v>109</v>
      </c>
      <c r="N289" s="19">
        <v>73</v>
      </c>
      <c r="O289" s="19">
        <f t="shared" si="8"/>
        <v>1320</v>
      </c>
      <c r="P289" s="19">
        <f t="shared" si="9"/>
        <v>3618</v>
      </c>
      <c r="Q289" t="s">
        <v>23</v>
      </c>
      <c r="R289" t="s">
        <v>63</v>
      </c>
      <c r="T289">
        <v>1</v>
      </c>
      <c r="U289" s="19">
        <v>1602</v>
      </c>
      <c r="V289">
        <v>0</v>
      </c>
      <c r="W289" s="19">
        <v>0</v>
      </c>
      <c r="X289">
        <v>0</v>
      </c>
      <c r="Y289" s="19">
        <v>0</v>
      </c>
      <c r="Z289">
        <v>1</v>
      </c>
      <c r="AA289" s="19">
        <v>1165</v>
      </c>
      <c r="AB289">
        <v>1</v>
      </c>
      <c r="AC289" s="19">
        <v>874</v>
      </c>
      <c r="AD289">
        <v>0</v>
      </c>
      <c r="AE289" s="19">
        <v>0</v>
      </c>
      <c r="AF289">
        <v>0</v>
      </c>
      <c r="AG289" s="19">
        <v>0</v>
      </c>
      <c r="AH289">
        <v>2</v>
      </c>
      <c r="AI289" s="19">
        <v>408</v>
      </c>
      <c r="AJ289">
        <v>1</v>
      </c>
      <c r="AK289" s="19">
        <v>102</v>
      </c>
      <c r="AL289">
        <v>1</v>
      </c>
      <c r="AM289" s="19">
        <v>204</v>
      </c>
      <c r="AN289">
        <v>1</v>
      </c>
      <c r="AO289" s="19">
        <v>218</v>
      </c>
      <c r="AP289">
        <v>1</v>
      </c>
      <c r="AQ289" s="19">
        <v>364</v>
      </c>
    </row>
    <row r="290" spans="1:43" x14ac:dyDescent="0.35">
      <c r="A290" s="18">
        <v>45578</v>
      </c>
      <c r="B290" t="s">
        <v>62</v>
      </c>
      <c r="C290" t="s">
        <v>61</v>
      </c>
      <c r="D290">
        <v>8</v>
      </c>
      <c r="E290">
        <v>3</v>
      </c>
      <c r="F290">
        <v>5</v>
      </c>
      <c r="G290" s="19">
        <v>4502</v>
      </c>
      <c r="H290" s="19">
        <v>3198</v>
      </c>
      <c r="I290" s="19">
        <v>1304</v>
      </c>
      <c r="J290" s="19">
        <v>235</v>
      </c>
      <c r="K290" s="19">
        <v>97</v>
      </c>
      <c r="L290" s="19">
        <v>806</v>
      </c>
      <c r="M290" s="19">
        <v>99</v>
      </c>
      <c r="N290" s="19">
        <v>65</v>
      </c>
      <c r="O290" s="19">
        <f t="shared" si="8"/>
        <v>1302</v>
      </c>
      <c r="P290" s="19">
        <f t="shared" si="9"/>
        <v>3200</v>
      </c>
      <c r="Q290" t="s">
        <v>23</v>
      </c>
      <c r="R290" t="s">
        <v>63</v>
      </c>
      <c r="T290">
        <v>1</v>
      </c>
      <c r="U290" s="19">
        <v>1912</v>
      </c>
      <c r="V290">
        <v>0</v>
      </c>
      <c r="W290" s="19">
        <v>0</v>
      </c>
      <c r="X290">
        <v>0</v>
      </c>
      <c r="Y290" s="19">
        <v>0</v>
      </c>
      <c r="Z290">
        <v>0</v>
      </c>
      <c r="AA290" s="19">
        <v>0</v>
      </c>
      <c r="AB290">
        <v>1</v>
      </c>
      <c r="AC290" s="19">
        <v>1043</v>
      </c>
      <c r="AD290">
        <v>0</v>
      </c>
      <c r="AE290" s="19">
        <v>0</v>
      </c>
      <c r="AF290">
        <v>0</v>
      </c>
      <c r="AG290" s="19">
        <v>0</v>
      </c>
      <c r="AH290">
        <v>2</v>
      </c>
      <c r="AI290" s="19">
        <v>487</v>
      </c>
      <c r="AJ290">
        <v>1</v>
      </c>
      <c r="AK290" s="19">
        <v>122</v>
      </c>
      <c r="AL290">
        <v>1</v>
      </c>
      <c r="AM290" s="19">
        <v>243</v>
      </c>
      <c r="AN290">
        <v>1</v>
      </c>
      <c r="AO290" s="19">
        <v>261</v>
      </c>
      <c r="AP290">
        <v>1</v>
      </c>
      <c r="AQ290" s="19">
        <v>435</v>
      </c>
    </row>
    <row r="291" spans="1:43" x14ac:dyDescent="0.35">
      <c r="A291" s="18">
        <v>45579</v>
      </c>
      <c r="B291" t="s">
        <v>52</v>
      </c>
      <c r="C291" t="s">
        <v>53</v>
      </c>
      <c r="D291">
        <v>6</v>
      </c>
      <c r="E291">
        <v>2</v>
      </c>
      <c r="F291">
        <v>4</v>
      </c>
      <c r="G291" s="19">
        <v>3516</v>
      </c>
      <c r="H291" s="19">
        <v>2717</v>
      </c>
      <c r="I291" s="19">
        <v>799</v>
      </c>
      <c r="J291" s="19">
        <v>235</v>
      </c>
      <c r="K291" s="19">
        <v>97</v>
      </c>
      <c r="L291" s="19">
        <v>806</v>
      </c>
      <c r="M291" s="19">
        <v>78</v>
      </c>
      <c r="N291" s="19">
        <v>49</v>
      </c>
      <c r="O291" s="19">
        <f t="shared" si="8"/>
        <v>1265</v>
      </c>
      <c r="P291" s="19">
        <f t="shared" si="9"/>
        <v>2251</v>
      </c>
      <c r="Q291" t="s">
        <v>23</v>
      </c>
      <c r="R291" t="s">
        <v>63</v>
      </c>
      <c r="T291">
        <v>1</v>
      </c>
      <c r="U291" s="19">
        <v>1758</v>
      </c>
      <c r="V291">
        <v>0</v>
      </c>
      <c r="W291" s="19">
        <v>0</v>
      </c>
      <c r="X291">
        <v>0</v>
      </c>
      <c r="Y291" s="19">
        <v>0</v>
      </c>
      <c r="Z291">
        <v>0</v>
      </c>
      <c r="AA291" s="19">
        <v>0</v>
      </c>
      <c r="AB291">
        <v>1</v>
      </c>
      <c r="AC291" s="19">
        <v>959</v>
      </c>
      <c r="AD291">
        <v>0</v>
      </c>
      <c r="AE291" s="19">
        <v>0</v>
      </c>
      <c r="AF291">
        <v>0</v>
      </c>
      <c r="AG291" s="19">
        <v>0</v>
      </c>
      <c r="AH291">
        <v>1</v>
      </c>
      <c r="AI291" s="19">
        <v>224</v>
      </c>
      <c r="AJ291">
        <v>1</v>
      </c>
      <c r="AK291" s="19">
        <v>112</v>
      </c>
      <c r="AL291">
        <v>1</v>
      </c>
      <c r="AM291" s="19">
        <v>224</v>
      </c>
      <c r="AN291">
        <v>1</v>
      </c>
      <c r="AO291" s="19">
        <v>240</v>
      </c>
      <c r="AP291">
        <v>0</v>
      </c>
      <c r="AQ291" s="19">
        <v>0</v>
      </c>
    </row>
    <row r="292" spans="1:43" x14ac:dyDescent="0.35">
      <c r="A292" s="18">
        <v>45580</v>
      </c>
      <c r="B292" t="s">
        <v>56</v>
      </c>
      <c r="C292" t="s">
        <v>53</v>
      </c>
      <c r="D292">
        <v>6</v>
      </c>
      <c r="E292">
        <v>1</v>
      </c>
      <c r="F292">
        <v>5</v>
      </c>
      <c r="G292" s="19">
        <v>3407</v>
      </c>
      <c r="H292" s="19">
        <v>2026</v>
      </c>
      <c r="I292" s="19">
        <v>1381</v>
      </c>
      <c r="J292" s="19">
        <v>235</v>
      </c>
      <c r="K292" s="19">
        <v>97</v>
      </c>
      <c r="L292" s="19">
        <v>806</v>
      </c>
      <c r="M292" s="19">
        <v>75</v>
      </c>
      <c r="N292" s="19">
        <v>49</v>
      </c>
      <c r="O292" s="19">
        <f t="shared" si="8"/>
        <v>1262</v>
      </c>
      <c r="P292" s="19">
        <f t="shared" si="9"/>
        <v>2145</v>
      </c>
      <c r="Q292" t="s">
        <v>23</v>
      </c>
      <c r="R292" t="s">
        <v>63</v>
      </c>
      <c r="T292">
        <v>1</v>
      </c>
      <c r="U292" s="19">
        <v>2026</v>
      </c>
      <c r="V292">
        <v>0</v>
      </c>
      <c r="W292" s="19">
        <v>0</v>
      </c>
      <c r="X292">
        <v>0</v>
      </c>
      <c r="Y292" s="19">
        <v>0</v>
      </c>
      <c r="Z292">
        <v>0</v>
      </c>
      <c r="AA292" s="19">
        <v>0</v>
      </c>
      <c r="AB292">
        <v>0</v>
      </c>
      <c r="AC292" s="19">
        <v>0</v>
      </c>
      <c r="AD292">
        <v>0</v>
      </c>
      <c r="AE292" s="19">
        <v>0</v>
      </c>
      <c r="AF292">
        <v>0</v>
      </c>
      <c r="AG292" s="19">
        <v>0</v>
      </c>
      <c r="AH292">
        <v>1</v>
      </c>
      <c r="AI292" s="19">
        <v>258</v>
      </c>
      <c r="AJ292">
        <v>1</v>
      </c>
      <c r="AK292" s="19">
        <v>129</v>
      </c>
      <c r="AL292">
        <v>1</v>
      </c>
      <c r="AM292" s="19">
        <v>258</v>
      </c>
      <c r="AN292">
        <v>1</v>
      </c>
      <c r="AO292" s="19">
        <v>276</v>
      </c>
      <c r="AP292">
        <v>1</v>
      </c>
      <c r="AQ292" s="19">
        <v>460</v>
      </c>
    </row>
    <row r="293" spans="1:43" x14ac:dyDescent="0.35">
      <c r="A293" s="18">
        <v>45581</v>
      </c>
      <c r="B293" t="s">
        <v>57</v>
      </c>
      <c r="C293" t="s">
        <v>53</v>
      </c>
      <c r="D293">
        <v>7</v>
      </c>
      <c r="E293">
        <v>3</v>
      </c>
      <c r="F293">
        <v>4</v>
      </c>
      <c r="G293" s="19">
        <v>3616</v>
      </c>
      <c r="H293" s="19">
        <v>3013</v>
      </c>
      <c r="I293" s="19">
        <v>603</v>
      </c>
      <c r="J293" s="19">
        <v>235</v>
      </c>
      <c r="K293" s="19">
        <v>97</v>
      </c>
      <c r="L293" s="19">
        <v>806</v>
      </c>
      <c r="M293" s="19">
        <v>80</v>
      </c>
      <c r="N293" s="19">
        <v>57</v>
      </c>
      <c r="O293" s="19">
        <f t="shared" si="8"/>
        <v>1275</v>
      </c>
      <c r="P293" s="19">
        <f t="shared" si="9"/>
        <v>2341</v>
      </c>
      <c r="Q293" t="s">
        <v>23</v>
      </c>
      <c r="R293" t="s">
        <v>63</v>
      </c>
      <c r="T293">
        <v>1</v>
      </c>
      <c r="U293" s="19">
        <v>1326</v>
      </c>
      <c r="V293">
        <v>0</v>
      </c>
      <c r="W293" s="19">
        <v>0</v>
      </c>
      <c r="X293">
        <v>0</v>
      </c>
      <c r="Y293" s="19">
        <v>0</v>
      </c>
      <c r="Z293">
        <v>1</v>
      </c>
      <c r="AA293" s="19">
        <v>964</v>
      </c>
      <c r="AB293">
        <v>1</v>
      </c>
      <c r="AC293" s="19">
        <v>723</v>
      </c>
      <c r="AD293">
        <v>0</v>
      </c>
      <c r="AE293" s="19">
        <v>0</v>
      </c>
      <c r="AF293">
        <v>0</v>
      </c>
      <c r="AG293" s="19">
        <v>0</v>
      </c>
      <c r="AH293">
        <v>1</v>
      </c>
      <c r="AI293" s="19">
        <v>169</v>
      </c>
      <c r="AJ293">
        <v>1</v>
      </c>
      <c r="AK293" s="19">
        <v>84</v>
      </c>
      <c r="AL293">
        <v>1</v>
      </c>
      <c r="AM293" s="19">
        <v>169</v>
      </c>
      <c r="AN293">
        <v>1</v>
      </c>
      <c r="AO293" s="19">
        <v>181</v>
      </c>
      <c r="AP293">
        <v>0</v>
      </c>
      <c r="AQ293" s="19">
        <v>0</v>
      </c>
    </row>
    <row r="294" spans="1:43" x14ac:dyDescent="0.35">
      <c r="A294" s="18">
        <v>45582</v>
      </c>
      <c r="B294" t="s">
        <v>58</v>
      </c>
      <c r="C294" t="s">
        <v>53</v>
      </c>
      <c r="D294">
        <v>7</v>
      </c>
      <c r="E294">
        <v>2</v>
      </c>
      <c r="F294">
        <v>5</v>
      </c>
      <c r="G294" s="19">
        <v>3690</v>
      </c>
      <c r="H294" s="19">
        <v>2560</v>
      </c>
      <c r="I294" s="19">
        <v>1130</v>
      </c>
      <c r="J294" s="19">
        <v>235</v>
      </c>
      <c r="K294" s="19">
        <v>97</v>
      </c>
      <c r="L294" s="19">
        <v>806</v>
      </c>
      <c r="M294" s="19">
        <v>81</v>
      </c>
      <c r="N294" s="19">
        <v>57</v>
      </c>
      <c r="O294" s="19">
        <f t="shared" si="8"/>
        <v>1276</v>
      </c>
      <c r="P294" s="19">
        <f t="shared" si="9"/>
        <v>2414</v>
      </c>
      <c r="Q294" t="s">
        <v>23</v>
      </c>
      <c r="R294" t="s">
        <v>63</v>
      </c>
      <c r="T294">
        <v>1</v>
      </c>
      <c r="U294" s="19">
        <v>1657</v>
      </c>
      <c r="V294">
        <v>0</v>
      </c>
      <c r="W294" s="19">
        <v>0</v>
      </c>
      <c r="X294">
        <v>0</v>
      </c>
      <c r="Y294" s="19">
        <v>0</v>
      </c>
      <c r="Z294">
        <v>0</v>
      </c>
      <c r="AA294" s="19">
        <v>0</v>
      </c>
      <c r="AB294">
        <v>1</v>
      </c>
      <c r="AC294" s="19">
        <v>904</v>
      </c>
      <c r="AD294">
        <v>0</v>
      </c>
      <c r="AE294" s="19">
        <v>0</v>
      </c>
      <c r="AF294">
        <v>0</v>
      </c>
      <c r="AG294" s="19">
        <v>0</v>
      </c>
      <c r="AH294">
        <v>1</v>
      </c>
      <c r="AI294" s="19">
        <v>211</v>
      </c>
      <c r="AJ294">
        <v>1</v>
      </c>
      <c r="AK294" s="19">
        <v>105</v>
      </c>
      <c r="AL294">
        <v>1</v>
      </c>
      <c r="AM294" s="19">
        <v>211</v>
      </c>
      <c r="AN294">
        <v>1</v>
      </c>
      <c r="AO294" s="19">
        <v>226</v>
      </c>
      <c r="AP294">
        <v>1</v>
      </c>
      <c r="AQ294" s="19">
        <v>377</v>
      </c>
    </row>
    <row r="295" spans="1:43" x14ac:dyDescent="0.35">
      <c r="A295" s="18">
        <v>45583</v>
      </c>
      <c r="B295" t="s">
        <v>59</v>
      </c>
      <c r="C295" t="s">
        <v>53</v>
      </c>
      <c r="D295">
        <v>7</v>
      </c>
      <c r="E295">
        <v>2</v>
      </c>
      <c r="F295">
        <v>5</v>
      </c>
      <c r="G295" s="19">
        <v>3770</v>
      </c>
      <c r="H295" s="19">
        <v>2616</v>
      </c>
      <c r="I295" s="19">
        <v>1154</v>
      </c>
      <c r="J295" s="19">
        <v>235</v>
      </c>
      <c r="K295" s="19">
        <v>97</v>
      </c>
      <c r="L295" s="19">
        <v>806</v>
      </c>
      <c r="M295" s="19">
        <v>83</v>
      </c>
      <c r="N295" s="19">
        <v>57</v>
      </c>
      <c r="O295" s="19">
        <f t="shared" si="8"/>
        <v>1278</v>
      </c>
      <c r="P295" s="19">
        <f t="shared" si="9"/>
        <v>2492</v>
      </c>
      <c r="Q295" t="s">
        <v>23</v>
      </c>
      <c r="R295" t="s">
        <v>63</v>
      </c>
      <c r="T295">
        <v>1</v>
      </c>
      <c r="U295" s="19">
        <v>1693</v>
      </c>
      <c r="V295">
        <v>0</v>
      </c>
      <c r="W295" s="19">
        <v>0</v>
      </c>
      <c r="X295">
        <v>0</v>
      </c>
      <c r="Y295" s="19">
        <v>0</v>
      </c>
      <c r="Z295">
        <v>0</v>
      </c>
      <c r="AA295" s="19">
        <v>0</v>
      </c>
      <c r="AB295">
        <v>1</v>
      </c>
      <c r="AC295" s="19">
        <v>923</v>
      </c>
      <c r="AD295">
        <v>0</v>
      </c>
      <c r="AE295" s="19">
        <v>0</v>
      </c>
      <c r="AF295">
        <v>0</v>
      </c>
      <c r="AG295" s="19">
        <v>0</v>
      </c>
      <c r="AH295">
        <v>1</v>
      </c>
      <c r="AI295" s="19">
        <v>215</v>
      </c>
      <c r="AJ295">
        <v>1</v>
      </c>
      <c r="AK295" s="19">
        <v>108</v>
      </c>
      <c r="AL295">
        <v>1</v>
      </c>
      <c r="AM295" s="19">
        <v>215</v>
      </c>
      <c r="AN295">
        <v>1</v>
      </c>
      <c r="AO295" s="19">
        <v>231</v>
      </c>
      <c r="AP295">
        <v>1</v>
      </c>
      <c r="AQ295" s="19">
        <v>385</v>
      </c>
    </row>
    <row r="296" spans="1:43" x14ac:dyDescent="0.35">
      <c r="A296" s="18">
        <v>45584</v>
      </c>
      <c r="B296" t="s">
        <v>60</v>
      </c>
      <c r="C296" t="s">
        <v>61</v>
      </c>
      <c r="D296">
        <v>9</v>
      </c>
      <c r="E296">
        <v>4</v>
      </c>
      <c r="F296">
        <v>5</v>
      </c>
      <c r="G296" s="19">
        <v>4849</v>
      </c>
      <c r="H296" s="19">
        <v>3482</v>
      </c>
      <c r="I296" s="19">
        <v>1367</v>
      </c>
      <c r="J296" s="19">
        <v>235</v>
      </c>
      <c r="K296" s="19">
        <v>97</v>
      </c>
      <c r="L296" s="19">
        <v>806</v>
      </c>
      <c r="M296" s="19">
        <v>107</v>
      </c>
      <c r="N296" s="19">
        <v>73</v>
      </c>
      <c r="O296" s="19">
        <f t="shared" si="8"/>
        <v>1318</v>
      </c>
      <c r="P296" s="19">
        <f t="shared" si="9"/>
        <v>3531</v>
      </c>
      <c r="Q296" t="s">
        <v>23</v>
      </c>
      <c r="R296" t="s">
        <v>63</v>
      </c>
      <c r="T296">
        <v>1</v>
      </c>
      <c r="U296" s="19">
        <v>2005</v>
      </c>
      <c r="V296">
        <v>0</v>
      </c>
      <c r="W296" s="19">
        <v>0</v>
      </c>
      <c r="X296">
        <v>0</v>
      </c>
      <c r="Y296" s="19">
        <v>0</v>
      </c>
      <c r="Z296">
        <v>0</v>
      </c>
      <c r="AA296" s="19">
        <v>0</v>
      </c>
      <c r="AB296">
        <v>1</v>
      </c>
      <c r="AC296" s="19">
        <v>1094</v>
      </c>
      <c r="AD296">
        <v>0</v>
      </c>
      <c r="AE296" s="19">
        <v>0</v>
      </c>
      <c r="AF296">
        <v>0</v>
      </c>
      <c r="AG296" s="19">
        <v>0</v>
      </c>
      <c r="AH296">
        <v>2</v>
      </c>
      <c r="AI296" s="19">
        <v>510</v>
      </c>
      <c r="AJ296">
        <v>2</v>
      </c>
      <c r="AK296" s="19">
        <v>255</v>
      </c>
      <c r="AL296">
        <v>1</v>
      </c>
      <c r="AM296" s="19">
        <v>255</v>
      </c>
      <c r="AN296">
        <v>1</v>
      </c>
      <c r="AO296" s="19">
        <v>273</v>
      </c>
      <c r="AP296">
        <v>1</v>
      </c>
      <c r="AQ296" s="19">
        <v>456</v>
      </c>
    </row>
    <row r="297" spans="1:43" x14ac:dyDescent="0.35">
      <c r="A297" s="18">
        <v>45585</v>
      </c>
      <c r="B297" t="s">
        <v>62</v>
      </c>
      <c r="C297" t="s">
        <v>61</v>
      </c>
      <c r="D297">
        <v>9</v>
      </c>
      <c r="E297">
        <v>4</v>
      </c>
      <c r="F297">
        <v>5</v>
      </c>
      <c r="G297" s="19">
        <v>4556</v>
      </c>
      <c r="H297" s="19">
        <v>3548</v>
      </c>
      <c r="I297" s="19">
        <v>1008</v>
      </c>
      <c r="J297" s="19">
        <v>235</v>
      </c>
      <c r="K297" s="19">
        <v>97</v>
      </c>
      <c r="L297" s="19">
        <v>806</v>
      </c>
      <c r="M297" s="19">
        <v>100</v>
      </c>
      <c r="N297" s="19">
        <v>73</v>
      </c>
      <c r="O297" s="19">
        <f t="shared" si="8"/>
        <v>1311</v>
      </c>
      <c r="P297" s="19">
        <f t="shared" si="9"/>
        <v>3245</v>
      </c>
      <c r="Q297" t="s">
        <v>23</v>
      </c>
      <c r="R297" t="s">
        <v>63</v>
      </c>
      <c r="T297">
        <v>1</v>
      </c>
      <c r="U297" s="19">
        <v>1478</v>
      </c>
      <c r="V297">
        <v>0</v>
      </c>
      <c r="W297" s="19">
        <v>0</v>
      </c>
      <c r="X297">
        <v>0</v>
      </c>
      <c r="Y297" s="19">
        <v>0</v>
      </c>
      <c r="Z297">
        <v>1</v>
      </c>
      <c r="AA297" s="19">
        <v>1075</v>
      </c>
      <c r="AB297">
        <v>1</v>
      </c>
      <c r="AC297" s="19">
        <v>806</v>
      </c>
      <c r="AD297">
        <v>0</v>
      </c>
      <c r="AE297" s="19">
        <v>0</v>
      </c>
      <c r="AF297">
        <v>0</v>
      </c>
      <c r="AG297" s="19">
        <v>0</v>
      </c>
      <c r="AH297">
        <v>2</v>
      </c>
      <c r="AI297" s="19">
        <v>376</v>
      </c>
      <c r="AJ297">
        <v>1</v>
      </c>
      <c r="AK297" s="19">
        <v>94</v>
      </c>
      <c r="AL297">
        <v>1</v>
      </c>
      <c r="AM297" s="19">
        <v>188</v>
      </c>
      <c r="AN297">
        <v>1</v>
      </c>
      <c r="AO297" s="19">
        <v>202</v>
      </c>
      <c r="AP297">
        <v>1</v>
      </c>
      <c r="AQ297" s="19">
        <v>336</v>
      </c>
    </row>
    <row r="298" spans="1:43" x14ac:dyDescent="0.35">
      <c r="A298" s="18">
        <v>45586</v>
      </c>
      <c r="B298" t="s">
        <v>52</v>
      </c>
      <c r="C298" t="s">
        <v>53</v>
      </c>
      <c r="D298">
        <v>6</v>
      </c>
      <c r="E298">
        <v>2</v>
      </c>
      <c r="F298">
        <v>4</v>
      </c>
      <c r="G298" s="19">
        <v>3318</v>
      </c>
      <c r="H298" s="19">
        <v>2564</v>
      </c>
      <c r="I298" s="19">
        <v>754</v>
      </c>
      <c r="J298" s="19">
        <v>235</v>
      </c>
      <c r="K298" s="19">
        <v>97</v>
      </c>
      <c r="L298" s="19">
        <v>806</v>
      </c>
      <c r="M298" s="19">
        <v>73</v>
      </c>
      <c r="N298" s="19">
        <v>49</v>
      </c>
      <c r="O298" s="19">
        <f t="shared" si="8"/>
        <v>1260</v>
      </c>
      <c r="P298" s="19">
        <f t="shared" si="9"/>
        <v>2058</v>
      </c>
      <c r="Q298" t="s">
        <v>23</v>
      </c>
      <c r="R298" t="s">
        <v>63</v>
      </c>
      <c r="T298">
        <v>1</v>
      </c>
      <c r="U298" s="19">
        <v>1659</v>
      </c>
      <c r="V298">
        <v>0</v>
      </c>
      <c r="W298" s="19">
        <v>0</v>
      </c>
      <c r="X298">
        <v>0</v>
      </c>
      <c r="Y298" s="19">
        <v>0</v>
      </c>
      <c r="Z298">
        <v>0</v>
      </c>
      <c r="AA298" s="19">
        <v>0</v>
      </c>
      <c r="AB298">
        <v>1</v>
      </c>
      <c r="AC298" s="19">
        <v>905</v>
      </c>
      <c r="AD298">
        <v>0</v>
      </c>
      <c r="AE298" s="19">
        <v>0</v>
      </c>
      <c r="AF298">
        <v>0</v>
      </c>
      <c r="AG298" s="19">
        <v>0</v>
      </c>
      <c r="AH298">
        <v>1</v>
      </c>
      <c r="AI298" s="19">
        <v>211</v>
      </c>
      <c r="AJ298">
        <v>1</v>
      </c>
      <c r="AK298" s="19">
        <v>106</v>
      </c>
      <c r="AL298">
        <v>1</v>
      </c>
      <c r="AM298" s="19">
        <v>211</v>
      </c>
      <c r="AN298">
        <v>1</v>
      </c>
      <c r="AO298" s="19">
        <v>226</v>
      </c>
      <c r="AP298">
        <v>0</v>
      </c>
      <c r="AQ298" s="19">
        <v>0</v>
      </c>
    </row>
    <row r="299" spans="1:43" x14ac:dyDescent="0.35">
      <c r="A299" s="18">
        <v>45587</v>
      </c>
      <c r="B299" t="s">
        <v>56</v>
      </c>
      <c r="C299" t="s">
        <v>53</v>
      </c>
      <c r="D299">
        <v>6</v>
      </c>
      <c r="E299">
        <v>1</v>
      </c>
      <c r="F299">
        <v>5</v>
      </c>
      <c r="G299" s="19">
        <v>3302</v>
      </c>
      <c r="H299" s="19">
        <v>1468</v>
      </c>
      <c r="I299" s="19">
        <v>1834</v>
      </c>
      <c r="J299" s="19">
        <v>235</v>
      </c>
      <c r="K299" s="19">
        <v>97</v>
      </c>
      <c r="L299" s="19">
        <v>806</v>
      </c>
      <c r="M299" s="19">
        <v>73</v>
      </c>
      <c r="N299" s="19">
        <v>49</v>
      </c>
      <c r="O299" s="19">
        <f t="shared" si="8"/>
        <v>1260</v>
      </c>
      <c r="P299" s="19">
        <f t="shared" si="9"/>
        <v>2042</v>
      </c>
      <c r="Q299" t="s">
        <v>27</v>
      </c>
      <c r="R299" t="s">
        <v>63</v>
      </c>
      <c r="T299">
        <v>0</v>
      </c>
      <c r="U299" s="19">
        <v>0</v>
      </c>
      <c r="V299">
        <v>0</v>
      </c>
      <c r="W299" s="19">
        <v>0</v>
      </c>
      <c r="X299">
        <v>0</v>
      </c>
      <c r="Y299" s="19">
        <v>0</v>
      </c>
      <c r="Z299">
        <v>0</v>
      </c>
      <c r="AA299" s="19">
        <v>0</v>
      </c>
      <c r="AB299">
        <v>1</v>
      </c>
      <c r="AC299" s="19">
        <v>1468</v>
      </c>
      <c r="AD299">
        <v>0</v>
      </c>
      <c r="AE299" s="19">
        <v>0</v>
      </c>
      <c r="AF299">
        <v>0</v>
      </c>
      <c r="AG299" s="19">
        <v>0</v>
      </c>
      <c r="AH299">
        <v>1</v>
      </c>
      <c r="AI299" s="19">
        <v>342</v>
      </c>
      <c r="AJ299">
        <v>1</v>
      </c>
      <c r="AK299" s="19">
        <v>171</v>
      </c>
      <c r="AL299">
        <v>1</v>
      </c>
      <c r="AM299" s="19">
        <v>342</v>
      </c>
      <c r="AN299">
        <v>1</v>
      </c>
      <c r="AO299" s="19">
        <v>367</v>
      </c>
      <c r="AP299">
        <v>1</v>
      </c>
      <c r="AQ299" s="19">
        <v>611</v>
      </c>
    </row>
    <row r="300" spans="1:43" x14ac:dyDescent="0.35">
      <c r="A300" s="18">
        <v>45588</v>
      </c>
      <c r="B300" t="s">
        <v>57</v>
      </c>
      <c r="C300" t="s">
        <v>53</v>
      </c>
      <c r="D300">
        <v>7</v>
      </c>
      <c r="E300">
        <v>3</v>
      </c>
      <c r="F300">
        <v>4</v>
      </c>
      <c r="G300" s="19">
        <v>3705</v>
      </c>
      <c r="H300" s="19">
        <v>3088</v>
      </c>
      <c r="I300" s="19">
        <v>618</v>
      </c>
      <c r="J300" s="19">
        <v>235</v>
      </c>
      <c r="K300" s="19">
        <v>97</v>
      </c>
      <c r="L300" s="19">
        <v>806</v>
      </c>
      <c r="M300" s="19">
        <v>82</v>
      </c>
      <c r="N300" s="19">
        <v>57</v>
      </c>
      <c r="O300" s="19">
        <f t="shared" si="8"/>
        <v>1277</v>
      </c>
      <c r="P300" s="19">
        <f t="shared" si="9"/>
        <v>2428</v>
      </c>
      <c r="Q300" t="s">
        <v>23</v>
      </c>
      <c r="R300" t="s">
        <v>63</v>
      </c>
      <c r="T300">
        <v>1</v>
      </c>
      <c r="U300" s="19">
        <v>1358</v>
      </c>
      <c r="V300">
        <v>0</v>
      </c>
      <c r="W300" s="19">
        <v>0</v>
      </c>
      <c r="X300">
        <v>0</v>
      </c>
      <c r="Y300" s="19">
        <v>0</v>
      </c>
      <c r="Z300">
        <v>1</v>
      </c>
      <c r="AA300" s="19">
        <v>988</v>
      </c>
      <c r="AB300">
        <v>1</v>
      </c>
      <c r="AC300" s="19">
        <v>741</v>
      </c>
      <c r="AD300">
        <v>0</v>
      </c>
      <c r="AE300" s="19">
        <v>0</v>
      </c>
      <c r="AF300">
        <v>0</v>
      </c>
      <c r="AG300" s="19">
        <v>0</v>
      </c>
      <c r="AH300">
        <v>1</v>
      </c>
      <c r="AI300" s="19">
        <v>173</v>
      </c>
      <c r="AJ300">
        <v>1</v>
      </c>
      <c r="AK300" s="19">
        <v>86</v>
      </c>
      <c r="AL300">
        <v>1</v>
      </c>
      <c r="AM300" s="19">
        <v>173</v>
      </c>
      <c r="AN300">
        <v>1</v>
      </c>
      <c r="AO300" s="19">
        <v>185</v>
      </c>
      <c r="AP300">
        <v>0</v>
      </c>
      <c r="AQ300" s="19">
        <v>0</v>
      </c>
    </row>
    <row r="301" spans="1:43" x14ac:dyDescent="0.35">
      <c r="A301" s="18">
        <v>45589</v>
      </c>
      <c r="B301" t="s">
        <v>58</v>
      </c>
      <c r="C301" t="s">
        <v>53</v>
      </c>
      <c r="D301">
        <v>7</v>
      </c>
      <c r="E301">
        <v>3</v>
      </c>
      <c r="F301">
        <v>4</v>
      </c>
      <c r="G301" s="19">
        <v>3587</v>
      </c>
      <c r="H301" s="19">
        <v>2989</v>
      </c>
      <c r="I301" s="19">
        <v>598</v>
      </c>
      <c r="J301" s="19">
        <v>235</v>
      </c>
      <c r="K301" s="19">
        <v>97</v>
      </c>
      <c r="L301" s="19">
        <v>806</v>
      </c>
      <c r="M301" s="19">
        <v>79</v>
      </c>
      <c r="N301" s="19">
        <v>57</v>
      </c>
      <c r="O301" s="19">
        <f t="shared" si="8"/>
        <v>1274</v>
      </c>
      <c r="P301" s="19">
        <f t="shared" si="9"/>
        <v>2313</v>
      </c>
      <c r="Q301" t="s">
        <v>23</v>
      </c>
      <c r="R301" t="s">
        <v>63</v>
      </c>
      <c r="T301">
        <v>1</v>
      </c>
      <c r="U301" s="19">
        <v>1315</v>
      </c>
      <c r="V301">
        <v>0</v>
      </c>
      <c r="W301" s="19">
        <v>0</v>
      </c>
      <c r="X301">
        <v>0</v>
      </c>
      <c r="Y301" s="19">
        <v>0</v>
      </c>
      <c r="Z301">
        <v>1</v>
      </c>
      <c r="AA301" s="19">
        <v>957</v>
      </c>
      <c r="AB301">
        <v>1</v>
      </c>
      <c r="AC301" s="19">
        <v>717</v>
      </c>
      <c r="AD301">
        <v>0</v>
      </c>
      <c r="AE301" s="19">
        <v>0</v>
      </c>
      <c r="AF301">
        <v>0</v>
      </c>
      <c r="AG301" s="19">
        <v>0</v>
      </c>
      <c r="AH301">
        <v>1</v>
      </c>
      <c r="AI301" s="19">
        <v>167</v>
      </c>
      <c r="AJ301">
        <v>1</v>
      </c>
      <c r="AK301" s="19">
        <v>84</v>
      </c>
      <c r="AL301">
        <v>1</v>
      </c>
      <c r="AM301" s="19">
        <v>167</v>
      </c>
      <c r="AN301">
        <v>1</v>
      </c>
      <c r="AO301" s="19">
        <v>179</v>
      </c>
      <c r="AP301">
        <v>0</v>
      </c>
      <c r="AQ301" s="19">
        <v>0</v>
      </c>
    </row>
    <row r="302" spans="1:43" x14ac:dyDescent="0.35">
      <c r="A302" s="18">
        <v>45590</v>
      </c>
      <c r="B302" t="s">
        <v>59</v>
      </c>
      <c r="C302" t="s">
        <v>53</v>
      </c>
      <c r="D302">
        <v>7</v>
      </c>
      <c r="E302">
        <v>2</v>
      </c>
      <c r="F302">
        <v>5</v>
      </c>
      <c r="G302" s="19">
        <v>3816</v>
      </c>
      <c r="H302" s="19">
        <v>2648</v>
      </c>
      <c r="I302" s="19">
        <v>1168</v>
      </c>
      <c r="J302" s="19">
        <v>235</v>
      </c>
      <c r="K302" s="19">
        <v>97</v>
      </c>
      <c r="L302" s="19">
        <v>806</v>
      </c>
      <c r="M302" s="19">
        <v>84</v>
      </c>
      <c r="N302" s="19">
        <v>57</v>
      </c>
      <c r="O302" s="19">
        <f t="shared" si="8"/>
        <v>1279</v>
      </c>
      <c r="P302" s="19">
        <f t="shared" si="9"/>
        <v>2537</v>
      </c>
      <c r="Q302" t="s">
        <v>23</v>
      </c>
      <c r="R302" t="s">
        <v>63</v>
      </c>
      <c r="T302">
        <v>1</v>
      </c>
      <c r="U302" s="19">
        <v>1713</v>
      </c>
      <c r="V302">
        <v>0</v>
      </c>
      <c r="W302" s="19">
        <v>0</v>
      </c>
      <c r="X302">
        <v>0</v>
      </c>
      <c r="Y302" s="19">
        <v>0</v>
      </c>
      <c r="Z302">
        <v>0</v>
      </c>
      <c r="AA302" s="19">
        <v>0</v>
      </c>
      <c r="AB302">
        <v>1</v>
      </c>
      <c r="AC302" s="19">
        <v>935</v>
      </c>
      <c r="AD302">
        <v>0</v>
      </c>
      <c r="AE302" s="19">
        <v>0</v>
      </c>
      <c r="AF302">
        <v>0</v>
      </c>
      <c r="AG302" s="19">
        <v>0</v>
      </c>
      <c r="AH302">
        <v>1</v>
      </c>
      <c r="AI302" s="19">
        <v>218</v>
      </c>
      <c r="AJ302">
        <v>1</v>
      </c>
      <c r="AK302" s="19">
        <v>109</v>
      </c>
      <c r="AL302">
        <v>1</v>
      </c>
      <c r="AM302" s="19">
        <v>218</v>
      </c>
      <c r="AN302">
        <v>1</v>
      </c>
      <c r="AO302" s="19">
        <v>234</v>
      </c>
      <c r="AP302">
        <v>1</v>
      </c>
      <c r="AQ302" s="19">
        <v>389</v>
      </c>
    </row>
    <row r="303" spans="1:43" x14ac:dyDescent="0.35">
      <c r="A303" s="18">
        <v>45591</v>
      </c>
      <c r="B303" t="s">
        <v>60</v>
      </c>
      <c r="C303" t="s">
        <v>61</v>
      </c>
      <c r="D303">
        <v>9</v>
      </c>
      <c r="E303">
        <v>4</v>
      </c>
      <c r="F303">
        <v>5</v>
      </c>
      <c r="G303" s="19">
        <v>4821</v>
      </c>
      <c r="H303" s="19">
        <v>3754</v>
      </c>
      <c r="I303" s="19">
        <v>1067</v>
      </c>
      <c r="J303" s="19">
        <v>235</v>
      </c>
      <c r="K303" s="19">
        <v>97</v>
      </c>
      <c r="L303" s="19">
        <v>806</v>
      </c>
      <c r="M303" s="19">
        <v>106</v>
      </c>
      <c r="N303" s="19">
        <v>73</v>
      </c>
      <c r="O303" s="19">
        <f t="shared" si="8"/>
        <v>1317</v>
      </c>
      <c r="P303" s="19">
        <f t="shared" si="9"/>
        <v>3504</v>
      </c>
      <c r="Q303" t="s">
        <v>23</v>
      </c>
      <c r="R303" t="s">
        <v>63</v>
      </c>
      <c r="T303">
        <v>1</v>
      </c>
      <c r="U303" s="19">
        <v>1564</v>
      </c>
      <c r="V303">
        <v>0</v>
      </c>
      <c r="W303" s="19">
        <v>0</v>
      </c>
      <c r="X303">
        <v>0</v>
      </c>
      <c r="Y303" s="19">
        <v>0</v>
      </c>
      <c r="Z303">
        <v>1</v>
      </c>
      <c r="AA303" s="19">
        <v>1138</v>
      </c>
      <c r="AB303">
        <v>1</v>
      </c>
      <c r="AC303" s="19">
        <v>853</v>
      </c>
      <c r="AD303">
        <v>0</v>
      </c>
      <c r="AE303" s="19">
        <v>0</v>
      </c>
      <c r="AF303">
        <v>0</v>
      </c>
      <c r="AG303" s="19">
        <v>0</v>
      </c>
      <c r="AH303">
        <v>2</v>
      </c>
      <c r="AI303" s="19">
        <v>398</v>
      </c>
      <c r="AJ303">
        <v>1</v>
      </c>
      <c r="AK303" s="19">
        <v>100</v>
      </c>
      <c r="AL303">
        <v>1</v>
      </c>
      <c r="AM303" s="19">
        <v>199</v>
      </c>
      <c r="AN303">
        <v>1</v>
      </c>
      <c r="AO303" s="19">
        <v>213</v>
      </c>
      <c r="AP303">
        <v>1</v>
      </c>
      <c r="AQ303" s="19">
        <v>356</v>
      </c>
    </row>
    <row r="304" spans="1:43" x14ac:dyDescent="0.35">
      <c r="A304" s="18">
        <v>45592</v>
      </c>
      <c r="B304" t="s">
        <v>62</v>
      </c>
      <c r="C304" t="s">
        <v>61</v>
      </c>
      <c r="D304">
        <v>8</v>
      </c>
      <c r="E304">
        <v>3</v>
      </c>
      <c r="F304">
        <v>5</v>
      </c>
      <c r="G304" s="19">
        <v>4201</v>
      </c>
      <c r="H304" s="19">
        <v>3232</v>
      </c>
      <c r="I304" s="19">
        <v>969</v>
      </c>
      <c r="J304" s="19">
        <v>235</v>
      </c>
      <c r="K304" s="19">
        <v>97</v>
      </c>
      <c r="L304" s="19">
        <v>806</v>
      </c>
      <c r="M304" s="19">
        <v>93</v>
      </c>
      <c r="N304" s="19">
        <v>65</v>
      </c>
      <c r="O304" s="19">
        <f t="shared" si="8"/>
        <v>1296</v>
      </c>
      <c r="P304" s="19">
        <f t="shared" si="9"/>
        <v>2905</v>
      </c>
      <c r="Q304" t="s">
        <v>23</v>
      </c>
      <c r="R304" t="s">
        <v>63</v>
      </c>
      <c r="T304">
        <v>1</v>
      </c>
      <c r="U304" s="19">
        <v>1422</v>
      </c>
      <c r="V304">
        <v>0</v>
      </c>
      <c r="W304" s="19">
        <v>0</v>
      </c>
      <c r="X304">
        <v>0</v>
      </c>
      <c r="Y304" s="19">
        <v>0</v>
      </c>
      <c r="Z304">
        <v>1</v>
      </c>
      <c r="AA304" s="19">
        <v>1034</v>
      </c>
      <c r="AB304">
        <v>1</v>
      </c>
      <c r="AC304" s="19">
        <v>776</v>
      </c>
      <c r="AD304">
        <v>0</v>
      </c>
      <c r="AE304" s="19">
        <v>0</v>
      </c>
      <c r="AF304">
        <v>0</v>
      </c>
      <c r="AG304" s="19">
        <v>0</v>
      </c>
      <c r="AH304">
        <v>1</v>
      </c>
      <c r="AI304" s="19">
        <v>181</v>
      </c>
      <c r="AJ304">
        <v>1</v>
      </c>
      <c r="AK304" s="19">
        <v>90</v>
      </c>
      <c r="AL304">
        <v>1</v>
      </c>
      <c r="AM304" s="19">
        <v>181</v>
      </c>
      <c r="AN304">
        <v>1</v>
      </c>
      <c r="AO304" s="19">
        <v>194</v>
      </c>
      <c r="AP304">
        <v>1</v>
      </c>
      <c r="AQ304" s="19">
        <v>323</v>
      </c>
    </row>
    <row r="305" spans="1:43" x14ac:dyDescent="0.35">
      <c r="A305" s="18">
        <v>45593</v>
      </c>
      <c r="B305" t="s">
        <v>52</v>
      </c>
      <c r="C305" t="s">
        <v>53</v>
      </c>
      <c r="D305">
        <v>6</v>
      </c>
      <c r="E305">
        <v>2</v>
      </c>
      <c r="F305">
        <v>4</v>
      </c>
      <c r="G305" s="19">
        <v>3161</v>
      </c>
      <c r="H305" s="19">
        <v>2443</v>
      </c>
      <c r="I305" s="19">
        <v>718</v>
      </c>
      <c r="J305" s="19">
        <v>235</v>
      </c>
      <c r="K305" s="19">
        <v>97</v>
      </c>
      <c r="L305" s="19">
        <v>806</v>
      </c>
      <c r="M305" s="19">
        <v>70</v>
      </c>
      <c r="N305" s="19">
        <v>49</v>
      </c>
      <c r="O305" s="19">
        <f t="shared" si="8"/>
        <v>1257</v>
      </c>
      <c r="P305" s="19">
        <f t="shared" si="9"/>
        <v>1904</v>
      </c>
      <c r="Q305" t="s">
        <v>23</v>
      </c>
      <c r="R305" t="s">
        <v>63</v>
      </c>
      <c r="T305">
        <v>1</v>
      </c>
      <c r="U305" s="19">
        <v>1580</v>
      </c>
      <c r="V305">
        <v>0</v>
      </c>
      <c r="W305" s="19">
        <v>0</v>
      </c>
      <c r="X305">
        <v>0</v>
      </c>
      <c r="Y305" s="19">
        <v>0</v>
      </c>
      <c r="Z305">
        <v>0</v>
      </c>
      <c r="AA305" s="19">
        <v>0</v>
      </c>
      <c r="AB305">
        <v>1</v>
      </c>
      <c r="AC305" s="19">
        <v>862</v>
      </c>
      <c r="AD305">
        <v>0</v>
      </c>
      <c r="AE305" s="19">
        <v>0</v>
      </c>
      <c r="AF305">
        <v>0</v>
      </c>
      <c r="AG305" s="19">
        <v>0</v>
      </c>
      <c r="AH305">
        <v>1</v>
      </c>
      <c r="AI305" s="19">
        <v>201</v>
      </c>
      <c r="AJ305">
        <v>1</v>
      </c>
      <c r="AK305" s="19">
        <v>101</v>
      </c>
      <c r="AL305">
        <v>1</v>
      </c>
      <c r="AM305" s="19">
        <v>201</v>
      </c>
      <c r="AN305">
        <v>1</v>
      </c>
      <c r="AO305" s="19">
        <v>216</v>
      </c>
      <c r="AP305">
        <v>0</v>
      </c>
      <c r="AQ305" s="19">
        <v>0</v>
      </c>
    </row>
    <row r="306" spans="1:43" x14ac:dyDescent="0.35">
      <c r="A306" s="18">
        <v>45594</v>
      </c>
      <c r="B306" t="s">
        <v>56</v>
      </c>
      <c r="C306" t="s">
        <v>53</v>
      </c>
      <c r="D306">
        <v>6</v>
      </c>
      <c r="E306">
        <v>1</v>
      </c>
      <c r="F306">
        <v>5</v>
      </c>
      <c r="G306" s="19">
        <v>3504</v>
      </c>
      <c r="H306" s="19">
        <v>2083</v>
      </c>
      <c r="I306" s="19">
        <v>1421</v>
      </c>
      <c r="J306" s="19">
        <v>235</v>
      </c>
      <c r="K306" s="19">
        <v>97</v>
      </c>
      <c r="L306" s="19">
        <v>806</v>
      </c>
      <c r="M306" s="19">
        <v>77</v>
      </c>
      <c r="N306" s="19">
        <v>49</v>
      </c>
      <c r="O306" s="19">
        <f t="shared" si="8"/>
        <v>1264</v>
      </c>
      <c r="P306" s="19">
        <f t="shared" si="9"/>
        <v>2240</v>
      </c>
      <c r="Q306" t="s">
        <v>23</v>
      </c>
      <c r="R306" t="s">
        <v>63</v>
      </c>
      <c r="T306">
        <v>1</v>
      </c>
      <c r="U306" s="19">
        <v>2083</v>
      </c>
      <c r="V306">
        <v>0</v>
      </c>
      <c r="W306" s="19">
        <v>0</v>
      </c>
      <c r="X306">
        <v>0</v>
      </c>
      <c r="Y306" s="19">
        <v>0</v>
      </c>
      <c r="Z306">
        <v>0</v>
      </c>
      <c r="AA306" s="19">
        <v>0</v>
      </c>
      <c r="AB306">
        <v>0</v>
      </c>
      <c r="AC306" s="19">
        <v>0</v>
      </c>
      <c r="AD306">
        <v>0</v>
      </c>
      <c r="AE306" s="19">
        <v>0</v>
      </c>
      <c r="AF306">
        <v>0</v>
      </c>
      <c r="AG306" s="19">
        <v>0</v>
      </c>
      <c r="AH306">
        <v>1</v>
      </c>
      <c r="AI306" s="19">
        <v>265</v>
      </c>
      <c r="AJ306">
        <v>1</v>
      </c>
      <c r="AK306" s="19">
        <v>133</v>
      </c>
      <c r="AL306">
        <v>1</v>
      </c>
      <c r="AM306" s="19">
        <v>265</v>
      </c>
      <c r="AN306">
        <v>1</v>
      </c>
      <c r="AO306" s="19">
        <v>284</v>
      </c>
      <c r="AP306">
        <v>1</v>
      </c>
      <c r="AQ306" s="19">
        <v>474</v>
      </c>
    </row>
    <row r="307" spans="1:43" x14ac:dyDescent="0.35">
      <c r="A307" s="18">
        <v>45595</v>
      </c>
      <c r="B307" t="s">
        <v>57</v>
      </c>
      <c r="C307" t="s">
        <v>53</v>
      </c>
      <c r="D307">
        <v>7</v>
      </c>
      <c r="E307">
        <v>2</v>
      </c>
      <c r="F307">
        <v>5</v>
      </c>
      <c r="G307" s="19">
        <v>3729</v>
      </c>
      <c r="H307" s="19">
        <v>2587</v>
      </c>
      <c r="I307" s="19">
        <v>1142</v>
      </c>
      <c r="J307" s="19">
        <v>235</v>
      </c>
      <c r="K307" s="19">
        <v>97</v>
      </c>
      <c r="L307" s="19">
        <v>806</v>
      </c>
      <c r="M307" s="19">
        <v>82</v>
      </c>
      <c r="N307" s="19">
        <v>57</v>
      </c>
      <c r="O307" s="19">
        <f t="shared" si="8"/>
        <v>1277</v>
      </c>
      <c r="P307" s="19">
        <f t="shared" si="9"/>
        <v>2452</v>
      </c>
      <c r="Q307" t="s">
        <v>23</v>
      </c>
      <c r="R307" t="s">
        <v>63</v>
      </c>
      <c r="T307">
        <v>1</v>
      </c>
      <c r="U307" s="19">
        <v>1674</v>
      </c>
      <c r="V307">
        <v>0</v>
      </c>
      <c r="W307" s="19">
        <v>0</v>
      </c>
      <c r="X307">
        <v>0</v>
      </c>
      <c r="Y307" s="19">
        <v>0</v>
      </c>
      <c r="Z307">
        <v>0</v>
      </c>
      <c r="AA307" s="19">
        <v>0</v>
      </c>
      <c r="AB307">
        <v>1</v>
      </c>
      <c r="AC307" s="19">
        <v>913</v>
      </c>
      <c r="AD307">
        <v>0</v>
      </c>
      <c r="AE307" s="19">
        <v>0</v>
      </c>
      <c r="AF307">
        <v>0</v>
      </c>
      <c r="AG307" s="19">
        <v>0</v>
      </c>
      <c r="AH307">
        <v>1</v>
      </c>
      <c r="AI307" s="19">
        <v>213</v>
      </c>
      <c r="AJ307">
        <v>1</v>
      </c>
      <c r="AK307" s="19">
        <v>107</v>
      </c>
      <c r="AL307">
        <v>1</v>
      </c>
      <c r="AM307" s="19">
        <v>213</v>
      </c>
      <c r="AN307">
        <v>1</v>
      </c>
      <c r="AO307" s="19">
        <v>228</v>
      </c>
      <c r="AP307">
        <v>1</v>
      </c>
      <c r="AQ307" s="19">
        <v>381</v>
      </c>
    </row>
    <row r="308" spans="1:43" x14ac:dyDescent="0.35">
      <c r="A308" s="18">
        <v>45596</v>
      </c>
      <c r="B308" t="s">
        <v>58</v>
      </c>
      <c r="C308" t="s">
        <v>53</v>
      </c>
      <c r="D308">
        <v>7</v>
      </c>
      <c r="E308">
        <v>2</v>
      </c>
      <c r="F308">
        <v>5</v>
      </c>
      <c r="G308" s="19">
        <v>3732</v>
      </c>
      <c r="H308" s="19">
        <v>2590</v>
      </c>
      <c r="I308" s="19">
        <v>1142</v>
      </c>
      <c r="J308" s="19">
        <v>235</v>
      </c>
      <c r="K308" s="19">
        <v>97</v>
      </c>
      <c r="L308" s="19">
        <v>806</v>
      </c>
      <c r="M308" s="19">
        <v>82</v>
      </c>
      <c r="N308" s="19">
        <v>57</v>
      </c>
      <c r="O308" s="19">
        <f t="shared" si="8"/>
        <v>1277</v>
      </c>
      <c r="P308" s="19">
        <f t="shared" si="9"/>
        <v>2455</v>
      </c>
      <c r="Q308" t="s">
        <v>23</v>
      </c>
      <c r="R308" t="s">
        <v>63</v>
      </c>
      <c r="T308">
        <v>1</v>
      </c>
      <c r="U308" s="19">
        <v>1676</v>
      </c>
      <c r="V308">
        <v>0</v>
      </c>
      <c r="W308" s="19">
        <v>0</v>
      </c>
      <c r="X308">
        <v>0</v>
      </c>
      <c r="Y308" s="19">
        <v>0</v>
      </c>
      <c r="Z308">
        <v>0</v>
      </c>
      <c r="AA308" s="19">
        <v>0</v>
      </c>
      <c r="AB308">
        <v>1</v>
      </c>
      <c r="AC308" s="19">
        <v>914</v>
      </c>
      <c r="AD308">
        <v>0</v>
      </c>
      <c r="AE308" s="19">
        <v>0</v>
      </c>
      <c r="AF308">
        <v>0</v>
      </c>
      <c r="AG308" s="19">
        <v>0</v>
      </c>
      <c r="AH308">
        <v>1</v>
      </c>
      <c r="AI308" s="19">
        <v>213</v>
      </c>
      <c r="AJ308">
        <v>1</v>
      </c>
      <c r="AK308" s="19">
        <v>107</v>
      </c>
      <c r="AL308">
        <v>1</v>
      </c>
      <c r="AM308" s="19">
        <v>213</v>
      </c>
      <c r="AN308">
        <v>1</v>
      </c>
      <c r="AO308" s="19">
        <v>228</v>
      </c>
      <c r="AP308">
        <v>1</v>
      </c>
      <c r="AQ308" s="19">
        <v>381</v>
      </c>
    </row>
    <row r="309" spans="1:43" x14ac:dyDescent="0.35">
      <c r="A309" s="18">
        <v>45597</v>
      </c>
      <c r="B309" t="s">
        <v>59</v>
      </c>
      <c r="C309" t="s">
        <v>53</v>
      </c>
      <c r="D309">
        <v>7</v>
      </c>
      <c r="E309">
        <v>2</v>
      </c>
      <c r="F309">
        <v>5</v>
      </c>
      <c r="G309" s="19">
        <v>3725</v>
      </c>
      <c r="H309" s="19">
        <v>2585</v>
      </c>
      <c r="I309" s="19">
        <v>1140</v>
      </c>
      <c r="J309" s="19">
        <v>250</v>
      </c>
      <c r="K309" s="19">
        <v>100</v>
      </c>
      <c r="L309" s="19">
        <v>833</v>
      </c>
      <c r="M309" s="19">
        <v>82</v>
      </c>
      <c r="N309" s="19">
        <v>57</v>
      </c>
      <c r="O309" s="19">
        <f t="shared" si="8"/>
        <v>1322</v>
      </c>
      <c r="P309" s="19">
        <f t="shared" si="9"/>
        <v>2403</v>
      </c>
      <c r="Q309" t="s">
        <v>23</v>
      </c>
      <c r="R309" t="s">
        <v>63</v>
      </c>
      <c r="T309">
        <v>1</v>
      </c>
      <c r="U309" s="19">
        <v>1672</v>
      </c>
      <c r="V309">
        <v>0</v>
      </c>
      <c r="W309" s="19">
        <v>0</v>
      </c>
      <c r="X309">
        <v>0</v>
      </c>
      <c r="Y309" s="19">
        <v>0</v>
      </c>
      <c r="Z309">
        <v>0</v>
      </c>
      <c r="AA309" s="19">
        <v>0</v>
      </c>
      <c r="AB309">
        <v>1</v>
      </c>
      <c r="AC309" s="19">
        <v>912</v>
      </c>
      <c r="AD309">
        <v>0</v>
      </c>
      <c r="AE309" s="19">
        <v>0</v>
      </c>
      <c r="AF309">
        <v>0</v>
      </c>
      <c r="AG309" s="19">
        <v>0</v>
      </c>
      <c r="AH309">
        <v>1</v>
      </c>
      <c r="AI309" s="19">
        <v>213</v>
      </c>
      <c r="AJ309">
        <v>1</v>
      </c>
      <c r="AK309" s="19">
        <v>106</v>
      </c>
      <c r="AL309">
        <v>1</v>
      </c>
      <c r="AM309" s="19">
        <v>213</v>
      </c>
      <c r="AN309">
        <v>1</v>
      </c>
      <c r="AO309" s="19">
        <v>228</v>
      </c>
      <c r="AP309">
        <v>1</v>
      </c>
      <c r="AQ309" s="19">
        <v>380</v>
      </c>
    </row>
    <row r="310" spans="1:43" x14ac:dyDescent="0.35">
      <c r="A310" s="18">
        <v>45598</v>
      </c>
      <c r="B310" t="s">
        <v>60</v>
      </c>
      <c r="C310" t="s">
        <v>61</v>
      </c>
      <c r="D310">
        <v>10</v>
      </c>
      <c r="E310">
        <v>4</v>
      </c>
      <c r="F310">
        <v>6</v>
      </c>
      <c r="G310" s="19">
        <v>5077</v>
      </c>
      <c r="H310" s="19">
        <v>3053</v>
      </c>
      <c r="I310" s="19">
        <v>2024</v>
      </c>
      <c r="J310" s="19">
        <v>250</v>
      </c>
      <c r="K310" s="19">
        <v>100</v>
      </c>
      <c r="L310" s="19">
        <v>833</v>
      </c>
      <c r="M310" s="19">
        <v>112</v>
      </c>
      <c r="N310" s="19">
        <v>81</v>
      </c>
      <c r="O310" s="19">
        <f t="shared" si="8"/>
        <v>1376</v>
      </c>
      <c r="P310" s="19">
        <f t="shared" si="9"/>
        <v>3701</v>
      </c>
      <c r="Q310" t="s">
        <v>23</v>
      </c>
      <c r="R310" t="s">
        <v>63</v>
      </c>
      <c r="T310">
        <v>1</v>
      </c>
      <c r="U310" s="19">
        <v>1272</v>
      </c>
      <c r="V310">
        <v>0</v>
      </c>
      <c r="W310" s="19">
        <v>0</v>
      </c>
      <c r="X310">
        <v>0</v>
      </c>
      <c r="Y310" s="19">
        <v>0</v>
      </c>
      <c r="Z310">
        <v>1</v>
      </c>
      <c r="AA310" s="19">
        <v>925</v>
      </c>
      <c r="AB310">
        <v>1</v>
      </c>
      <c r="AC310" s="19">
        <v>694</v>
      </c>
      <c r="AD310">
        <v>1</v>
      </c>
      <c r="AE310" s="19">
        <v>1156</v>
      </c>
      <c r="AF310">
        <v>0</v>
      </c>
      <c r="AG310" s="19">
        <v>0</v>
      </c>
      <c r="AH310">
        <v>2</v>
      </c>
      <c r="AI310" s="19">
        <v>324</v>
      </c>
      <c r="AJ310">
        <v>1</v>
      </c>
      <c r="AK310" s="19">
        <v>81</v>
      </c>
      <c r="AL310">
        <v>1</v>
      </c>
      <c r="AM310" s="19">
        <v>162</v>
      </c>
      <c r="AN310">
        <v>1</v>
      </c>
      <c r="AO310" s="19">
        <v>173</v>
      </c>
      <c r="AP310">
        <v>1</v>
      </c>
      <c r="AQ310" s="19">
        <v>289</v>
      </c>
    </row>
    <row r="311" spans="1:43" x14ac:dyDescent="0.35">
      <c r="A311" s="18">
        <v>45599</v>
      </c>
      <c r="B311" t="s">
        <v>62</v>
      </c>
      <c r="C311" t="s">
        <v>61</v>
      </c>
      <c r="D311">
        <v>9</v>
      </c>
      <c r="E311">
        <v>4</v>
      </c>
      <c r="F311">
        <v>5</v>
      </c>
      <c r="G311" s="19">
        <v>4669</v>
      </c>
      <c r="H311" s="19">
        <v>3636</v>
      </c>
      <c r="I311" s="19">
        <v>1033</v>
      </c>
      <c r="J311" s="19">
        <v>250</v>
      </c>
      <c r="K311" s="19">
        <v>100</v>
      </c>
      <c r="L311" s="19">
        <v>833</v>
      </c>
      <c r="M311" s="19">
        <v>103</v>
      </c>
      <c r="N311" s="19">
        <v>73</v>
      </c>
      <c r="O311" s="19">
        <f t="shared" si="8"/>
        <v>1359</v>
      </c>
      <c r="P311" s="19">
        <f t="shared" si="9"/>
        <v>3310</v>
      </c>
      <c r="Q311" t="s">
        <v>23</v>
      </c>
      <c r="R311" t="s">
        <v>63</v>
      </c>
      <c r="T311">
        <v>1</v>
      </c>
      <c r="U311" s="19">
        <v>1515</v>
      </c>
      <c r="V311">
        <v>0</v>
      </c>
      <c r="W311" s="19">
        <v>0</v>
      </c>
      <c r="X311">
        <v>0</v>
      </c>
      <c r="Y311" s="19">
        <v>0</v>
      </c>
      <c r="Z311">
        <v>1</v>
      </c>
      <c r="AA311" s="19">
        <v>1102</v>
      </c>
      <c r="AB311">
        <v>1</v>
      </c>
      <c r="AC311" s="19">
        <v>826</v>
      </c>
      <c r="AD311">
        <v>0</v>
      </c>
      <c r="AE311" s="19">
        <v>0</v>
      </c>
      <c r="AF311">
        <v>0</v>
      </c>
      <c r="AG311" s="19">
        <v>0</v>
      </c>
      <c r="AH311">
        <v>2</v>
      </c>
      <c r="AI311" s="19">
        <v>386</v>
      </c>
      <c r="AJ311">
        <v>1</v>
      </c>
      <c r="AK311" s="19">
        <v>96</v>
      </c>
      <c r="AL311">
        <v>1</v>
      </c>
      <c r="AM311" s="19">
        <v>193</v>
      </c>
      <c r="AN311">
        <v>1</v>
      </c>
      <c r="AO311" s="19">
        <v>207</v>
      </c>
      <c r="AP311">
        <v>1</v>
      </c>
      <c r="AQ311" s="19">
        <v>344</v>
      </c>
    </row>
    <row r="312" spans="1:43" x14ac:dyDescent="0.35">
      <c r="A312" s="18">
        <v>45600</v>
      </c>
      <c r="B312" t="s">
        <v>52</v>
      </c>
      <c r="C312" t="s">
        <v>53</v>
      </c>
      <c r="D312">
        <v>7</v>
      </c>
      <c r="E312">
        <v>2</v>
      </c>
      <c r="F312">
        <v>5</v>
      </c>
      <c r="G312" s="19">
        <v>3486</v>
      </c>
      <c r="H312" s="19">
        <v>2419</v>
      </c>
      <c r="I312" s="19">
        <v>1067</v>
      </c>
      <c r="J312" s="19">
        <v>250</v>
      </c>
      <c r="K312" s="19">
        <v>100</v>
      </c>
      <c r="L312" s="19">
        <v>833</v>
      </c>
      <c r="M312" s="19">
        <v>77</v>
      </c>
      <c r="N312" s="19">
        <v>57</v>
      </c>
      <c r="O312" s="19">
        <f t="shared" si="8"/>
        <v>1317</v>
      </c>
      <c r="P312" s="19">
        <f t="shared" si="9"/>
        <v>2169</v>
      </c>
      <c r="Q312" t="s">
        <v>23</v>
      </c>
      <c r="R312" t="s">
        <v>63</v>
      </c>
      <c r="T312">
        <v>1</v>
      </c>
      <c r="U312" s="19">
        <v>1565</v>
      </c>
      <c r="V312">
        <v>0</v>
      </c>
      <c r="W312" s="19">
        <v>0</v>
      </c>
      <c r="X312">
        <v>0</v>
      </c>
      <c r="Y312" s="19">
        <v>0</v>
      </c>
      <c r="Z312">
        <v>0</v>
      </c>
      <c r="AA312" s="19">
        <v>0</v>
      </c>
      <c r="AB312">
        <v>1</v>
      </c>
      <c r="AC312" s="19">
        <v>854</v>
      </c>
      <c r="AD312">
        <v>0</v>
      </c>
      <c r="AE312" s="19">
        <v>0</v>
      </c>
      <c r="AF312">
        <v>0</v>
      </c>
      <c r="AG312" s="19">
        <v>0</v>
      </c>
      <c r="AH312">
        <v>1</v>
      </c>
      <c r="AI312" s="19">
        <v>199</v>
      </c>
      <c r="AJ312">
        <v>1</v>
      </c>
      <c r="AK312" s="19">
        <v>100</v>
      </c>
      <c r="AL312">
        <v>1</v>
      </c>
      <c r="AM312" s="19">
        <v>199</v>
      </c>
      <c r="AN312">
        <v>1</v>
      </c>
      <c r="AO312" s="19">
        <v>213</v>
      </c>
      <c r="AP312">
        <v>1</v>
      </c>
      <c r="AQ312" s="19">
        <v>356</v>
      </c>
    </row>
    <row r="313" spans="1:43" x14ac:dyDescent="0.35">
      <c r="A313" s="18">
        <v>45601</v>
      </c>
      <c r="B313" t="s">
        <v>56</v>
      </c>
      <c r="C313" t="s">
        <v>53</v>
      </c>
      <c r="D313">
        <v>7</v>
      </c>
      <c r="E313">
        <v>2</v>
      </c>
      <c r="F313">
        <v>5</v>
      </c>
      <c r="G313" s="19">
        <v>3725</v>
      </c>
      <c r="H313" s="19">
        <v>2585</v>
      </c>
      <c r="I313" s="19">
        <v>1140</v>
      </c>
      <c r="J313" s="19">
        <v>250</v>
      </c>
      <c r="K313" s="19">
        <v>100</v>
      </c>
      <c r="L313" s="19">
        <v>833</v>
      </c>
      <c r="M313" s="19">
        <v>82</v>
      </c>
      <c r="N313" s="19">
        <v>57</v>
      </c>
      <c r="O313" s="19">
        <f t="shared" si="8"/>
        <v>1322</v>
      </c>
      <c r="P313" s="19">
        <f t="shared" si="9"/>
        <v>2403</v>
      </c>
      <c r="Q313" t="s">
        <v>23</v>
      </c>
      <c r="R313" t="s">
        <v>63</v>
      </c>
      <c r="T313">
        <v>1</v>
      </c>
      <c r="U313" s="19">
        <v>1672</v>
      </c>
      <c r="V313">
        <v>0</v>
      </c>
      <c r="W313" s="19">
        <v>0</v>
      </c>
      <c r="X313">
        <v>0</v>
      </c>
      <c r="Y313" s="19">
        <v>0</v>
      </c>
      <c r="Z313">
        <v>0</v>
      </c>
      <c r="AA313" s="19">
        <v>0</v>
      </c>
      <c r="AB313">
        <v>1</v>
      </c>
      <c r="AC313" s="19">
        <v>912</v>
      </c>
      <c r="AD313">
        <v>0</v>
      </c>
      <c r="AE313" s="19">
        <v>0</v>
      </c>
      <c r="AF313">
        <v>0</v>
      </c>
      <c r="AG313" s="19">
        <v>0</v>
      </c>
      <c r="AH313">
        <v>1</v>
      </c>
      <c r="AI313" s="19">
        <v>213</v>
      </c>
      <c r="AJ313">
        <v>1</v>
      </c>
      <c r="AK313" s="19">
        <v>106</v>
      </c>
      <c r="AL313">
        <v>1</v>
      </c>
      <c r="AM313" s="19">
        <v>213</v>
      </c>
      <c r="AN313">
        <v>1</v>
      </c>
      <c r="AO313" s="19">
        <v>228</v>
      </c>
      <c r="AP313">
        <v>1</v>
      </c>
      <c r="AQ313" s="19">
        <v>380</v>
      </c>
    </row>
    <row r="314" spans="1:43" x14ac:dyDescent="0.35">
      <c r="A314" s="18">
        <v>45602</v>
      </c>
      <c r="B314" t="s">
        <v>57</v>
      </c>
      <c r="C314" t="s">
        <v>53</v>
      </c>
      <c r="D314">
        <v>7</v>
      </c>
      <c r="E314">
        <v>2</v>
      </c>
      <c r="F314">
        <v>5</v>
      </c>
      <c r="G314" s="19">
        <v>3844</v>
      </c>
      <c r="H314" s="19">
        <v>2667</v>
      </c>
      <c r="I314" s="19">
        <v>1177</v>
      </c>
      <c r="J314" s="19">
        <v>250</v>
      </c>
      <c r="K314" s="19">
        <v>100</v>
      </c>
      <c r="L314" s="19">
        <v>833</v>
      </c>
      <c r="M314" s="19">
        <v>85</v>
      </c>
      <c r="N314" s="19">
        <v>57</v>
      </c>
      <c r="O314" s="19">
        <f t="shared" si="8"/>
        <v>1325</v>
      </c>
      <c r="P314" s="19">
        <f t="shared" si="9"/>
        <v>2519</v>
      </c>
      <c r="Q314" t="s">
        <v>23</v>
      </c>
      <c r="R314" t="s">
        <v>63</v>
      </c>
      <c r="T314">
        <v>1</v>
      </c>
      <c r="U314" s="19">
        <v>1726</v>
      </c>
      <c r="V314">
        <v>0</v>
      </c>
      <c r="W314" s="19">
        <v>0</v>
      </c>
      <c r="X314">
        <v>0</v>
      </c>
      <c r="Y314" s="19">
        <v>0</v>
      </c>
      <c r="Z314">
        <v>0</v>
      </c>
      <c r="AA314" s="19">
        <v>0</v>
      </c>
      <c r="AB314">
        <v>1</v>
      </c>
      <c r="AC314" s="19">
        <v>941</v>
      </c>
      <c r="AD314">
        <v>0</v>
      </c>
      <c r="AE314" s="19">
        <v>0</v>
      </c>
      <c r="AF314">
        <v>0</v>
      </c>
      <c r="AG314" s="19">
        <v>0</v>
      </c>
      <c r="AH314">
        <v>1</v>
      </c>
      <c r="AI314" s="19">
        <v>220</v>
      </c>
      <c r="AJ314">
        <v>1</v>
      </c>
      <c r="AK314" s="19">
        <v>110</v>
      </c>
      <c r="AL314">
        <v>1</v>
      </c>
      <c r="AM314" s="19">
        <v>220</v>
      </c>
      <c r="AN314">
        <v>1</v>
      </c>
      <c r="AO314" s="19">
        <v>235</v>
      </c>
      <c r="AP314">
        <v>1</v>
      </c>
      <c r="AQ314" s="19">
        <v>392</v>
      </c>
    </row>
    <row r="315" spans="1:43" x14ac:dyDescent="0.35">
      <c r="A315" s="18">
        <v>45603</v>
      </c>
      <c r="B315" t="s">
        <v>58</v>
      </c>
      <c r="C315" t="s">
        <v>53</v>
      </c>
      <c r="D315">
        <v>7</v>
      </c>
      <c r="E315">
        <v>2</v>
      </c>
      <c r="F315">
        <v>5</v>
      </c>
      <c r="G315" s="19">
        <v>3646</v>
      </c>
      <c r="H315" s="19">
        <v>2530</v>
      </c>
      <c r="I315" s="19">
        <v>1116</v>
      </c>
      <c r="J315" s="19">
        <v>250</v>
      </c>
      <c r="K315" s="19">
        <v>100</v>
      </c>
      <c r="L315" s="19">
        <v>833</v>
      </c>
      <c r="M315" s="19">
        <v>80</v>
      </c>
      <c r="N315" s="19">
        <v>57</v>
      </c>
      <c r="O315" s="19">
        <f t="shared" si="8"/>
        <v>1320</v>
      </c>
      <c r="P315" s="19">
        <f t="shared" si="9"/>
        <v>2326</v>
      </c>
      <c r="Q315" t="s">
        <v>23</v>
      </c>
      <c r="R315" t="s">
        <v>63</v>
      </c>
      <c r="T315">
        <v>1</v>
      </c>
      <c r="U315" s="19">
        <v>1637</v>
      </c>
      <c r="V315">
        <v>0</v>
      </c>
      <c r="W315" s="19">
        <v>0</v>
      </c>
      <c r="X315">
        <v>0</v>
      </c>
      <c r="Y315" s="19">
        <v>0</v>
      </c>
      <c r="Z315">
        <v>0</v>
      </c>
      <c r="AA315" s="19">
        <v>0</v>
      </c>
      <c r="AB315">
        <v>1</v>
      </c>
      <c r="AC315" s="19">
        <v>893</v>
      </c>
      <c r="AD315">
        <v>0</v>
      </c>
      <c r="AE315" s="19">
        <v>0</v>
      </c>
      <c r="AF315">
        <v>0</v>
      </c>
      <c r="AG315" s="19">
        <v>0</v>
      </c>
      <c r="AH315">
        <v>1</v>
      </c>
      <c r="AI315" s="19">
        <v>208</v>
      </c>
      <c r="AJ315">
        <v>1</v>
      </c>
      <c r="AK315" s="19">
        <v>104</v>
      </c>
      <c r="AL315">
        <v>1</v>
      </c>
      <c r="AM315" s="19">
        <v>208</v>
      </c>
      <c r="AN315">
        <v>1</v>
      </c>
      <c r="AO315" s="19">
        <v>223</v>
      </c>
      <c r="AP315">
        <v>1</v>
      </c>
      <c r="AQ315" s="19">
        <v>372</v>
      </c>
    </row>
    <row r="316" spans="1:43" x14ac:dyDescent="0.35">
      <c r="A316" s="18">
        <v>45604</v>
      </c>
      <c r="B316" t="s">
        <v>59</v>
      </c>
      <c r="C316" t="s">
        <v>53</v>
      </c>
      <c r="D316">
        <v>7</v>
      </c>
      <c r="E316">
        <v>2</v>
      </c>
      <c r="F316">
        <v>5</v>
      </c>
      <c r="G316" s="19">
        <v>3756</v>
      </c>
      <c r="H316" s="19">
        <v>2606</v>
      </c>
      <c r="I316" s="19">
        <v>1150</v>
      </c>
      <c r="J316" s="19">
        <v>250</v>
      </c>
      <c r="K316" s="19">
        <v>100</v>
      </c>
      <c r="L316" s="19">
        <v>833</v>
      </c>
      <c r="M316" s="19">
        <v>83</v>
      </c>
      <c r="N316" s="19">
        <v>57</v>
      </c>
      <c r="O316" s="19">
        <f t="shared" si="8"/>
        <v>1323</v>
      </c>
      <c r="P316" s="19">
        <f t="shared" si="9"/>
        <v>2433</v>
      </c>
      <c r="Q316" t="s">
        <v>23</v>
      </c>
      <c r="R316" t="s">
        <v>63</v>
      </c>
      <c r="T316">
        <v>1</v>
      </c>
      <c r="U316" s="19">
        <v>1686</v>
      </c>
      <c r="V316">
        <v>0</v>
      </c>
      <c r="W316" s="19">
        <v>0</v>
      </c>
      <c r="X316">
        <v>0</v>
      </c>
      <c r="Y316" s="19">
        <v>0</v>
      </c>
      <c r="Z316">
        <v>0</v>
      </c>
      <c r="AA316" s="19">
        <v>0</v>
      </c>
      <c r="AB316">
        <v>1</v>
      </c>
      <c r="AC316" s="19">
        <v>920</v>
      </c>
      <c r="AD316">
        <v>0</v>
      </c>
      <c r="AE316" s="19">
        <v>0</v>
      </c>
      <c r="AF316">
        <v>0</v>
      </c>
      <c r="AG316" s="19">
        <v>0</v>
      </c>
      <c r="AH316">
        <v>1</v>
      </c>
      <c r="AI316" s="19">
        <v>215</v>
      </c>
      <c r="AJ316">
        <v>1</v>
      </c>
      <c r="AK316" s="19">
        <v>107</v>
      </c>
      <c r="AL316">
        <v>1</v>
      </c>
      <c r="AM316" s="19">
        <v>215</v>
      </c>
      <c r="AN316">
        <v>1</v>
      </c>
      <c r="AO316" s="19">
        <v>230</v>
      </c>
      <c r="AP316">
        <v>1</v>
      </c>
      <c r="AQ316" s="19">
        <v>383</v>
      </c>
    </row>
    <row r="317" spans="1:43" x14ac:dyDescent="0.35">
      <c r="A317" s="18">
        <v>45605</v>
      </c>
      <c r="B317" t="s">
        <v>60</v>
      </c>
      <c r="C317" t="s">
        <v>61</v>
      </c>
      <c r="D317">
        <v>9</v>
      </c>
      <c r="E317">
        <v>4</v>
      </c>
      <c r="F317">
        <v>5</v>
      </c>
      <c r="G317" s="19">
        <v>5107</v>
      </c>
      <c r="H317" s="19">
        <v>3977</v>
      </c>
      <c r="I317" s="19">
        <v>1130</v>
      </c>
      <c r="J317" s="19">
        <v>250</v>
      </c>
      <c r="K317" s="19">
        <v>100</v>
      </c>
      <c r="L317" s="19">
        <v>833</v>
      </c>
      <c r="M317" s="19">
        <v>113</v>
      </c>
      <c r="N317" s="19">
        <v>73</v>
      </c>
      <c r="O317" s="19">
        <f t="shared" si="8"/>
        <v>1369</v>
      </c>
      <c r="P317" s="19">
        <f t="shared" si="9"/>
        <v>3738</v>
      </c>
      <c r="Q317" t="s">
        <v>23</v>
      </c>
      <c r="R317" t="s">
        <v>63</v>
      </c>
      <c r="T317">
        <v>1</v>
      </c>
      <c r="U317" s="19">
        <v>1657</v>
      </c>
      <c r="V317">
        <v>0</v>
      </c>
      <c r="W317" s="19">
        <v>0</v>
      </c>
      <c r="X317">
        <v>0</v>
      </c>
      <c r="Y317" s="19">
        <v>0</v>
      </c>
      <c r="Z317">
        <v>1</v>
      </c>
      <c r="AA317" s="19">
        <v>1205</v>
      </c>
      <c r="AB317">
        <v>1</v>
      </c>
      <c r="AC317" s="19">
        <v>904</v>
      </c>
      <c r="AD317">
        <v>0</v>
      </c>
      <c r="AE317" s="19">
        <v>0</v>
      </c>
      <c r="AF317">
        <v>0</v>
      </c>
      <c r="AG317" s="19">
        <v>0</v>
      </c>
      <c r="AH317">
        <v>2</v>
      </c>
      <c r="AI317" s="19">
        <v>422</v>
      </c>
      <c r="AJ317">
        <v>1</v>
      </c>
      <c r="AK317" s="19">
        <v>105</v>
      </c>
      <c r="AL317">
        <v>1</v>
      </c>
      <c r="AM317" s="19">
        <v>211</v>
      </c>
      <c r="AN317">
        <v>1</v>
      </c>
      <c r="AO317" s="19">
        <v>226</v>
      </c>
      <c r="AP317">
        <v>1</v>
      </c>
      <c r="AQ317" s="19">
        <v>377</v>
      </c>
    </row>
    <row r="318" spans="1:43" x14ac:dyDescent="0.35">
      <c r="A318" s="18">
        <v>45606</v>
      </c>
      <c r="B318" t="s">
        <v>62</v>
      </c>
      <c r="C318" t="s">
        <v>61</v>
      </c>
      <c r="D318">
        <v>8</v>
      </c>
      <c r="E318">
        <v>2</v>
      </c>
      <c r="F318">
        <v>6</v>
      </c>
      <c r="G318" s="19">
        <v>4344</v>
      </c>
      <c r="H318" s="19">
        <v>2141</v>
      </c>
      <c r="I318" s="19">
        <v>2203</v>
      </c>
      <c r="J318" s="19">
        <v>250</v>
      </c>
      <c r="K318" s="19">
        <v>100</v>
      </c>
      <c r="L318" s="19">
        <v>833</v>
      </c>
      <c r="M318" s="19">
        <v>96</v>
      </c>
      <c r="N318" s="19">
        <v>65</v>
      </c>
      <c r="O318" s="19">
        <f t="shared" si="8"/>
        <v>1344</v>
      </c>
      <c r="P318" s="19">
        <f t="shared" si="9"/>
        <v>3000</v>
      </c>
      <c r="Q318" t="s">
        <v>23</v>
      </c>
      <c r="R318" t="s">
        <v>63</v>
      </c>
      <c r="T318">
        <v>1</v>
      </c>
      <c r="U318" s="19">
        <v>1385</v>
      </c>
      <c r="V318">
        <v>0</v>
      </c>
      <c r="W318" s="19">
        <v>0</v>
      </c>
      <c r="X318">
        <v>0</v>
      </c>
      <c r="Y318" s="19">
        <v>0</v>
      </c>
      <c r="Z318">
        <v>0</v>
      </c>
      <c r="AA318" s="19">
        <v>0</v>
      </c>
      <c r="AB318">
        <v>1</v>
      </c>
      <c r="AC318" s="19">
        <v>755</v>
      </c>
      <c r="AD318">
        <v>1</v>
      </c>
      <c r="AE318" s="19">
        <v>1259</v>
      </c>
      <c r="AF318">
        <v>0</v>
      </c>
      <c r="AG318" s="19">
        <v>0</v>
      </c>
      <c r="AH318">
        <v>1</v>
      </c>
      <c r="AI318" s="19">
        <v>176</v>
      </c>
      <c r="AJ318">
        <v>1</v>
      </c>
      <c r="AK318" s="19">
        <v>88</v>
      </c>
      <c r="AL318">
        <v>1</v>
      </c>
      <c r="AM318" s="19">
        <v>176</v>
      </c>
      <c r="AN318">
        <v>1</v>
      </c>
      <c r="AO318" s="19">
        <v>189</v>
      </c>
      <c r="AP318">
        <v>1</v>
      </c>
      <c r="AQ318" s="19">
        <v>315</v>
      </c>
    </row>
    <row r="319" spans="1:43" x14ac:dyDescent="0.35">
      <c r="A319" s="18">
        <v>45607</v>
      </c>
      <c r="B319" t="s">
        <v>52</v>
      </c>
      <c r="C319" t="s">
        <v>53</v>
      </c>
      <c r="D319">
        <v>7</v>
      </c>
      <c r="E319">
        <v>2</v>
      </c>
      <c r="F319">
        <v>5</v>
      </c>
      <c r="G319" s="19">
        <v>3526</v>
      </c>
      <c r="H319" s="19">
        <v>2447</v>
      </c>
      <c r="I319" s="19">
        <v>1079</v>
      </c>
      <c r="J319" s="19">
        <v>250</v>
      </c>
      <c r="K319" s="19">
        <v>100</v>
      </c>
      <c r="L319" s="19">
        <v>833</v>
      </c>
      <c r="M319" s="19">
        <v>78</v>
      </c>
      <c r="N319" s="19">
        <v>57</v>
      </c>
      <c r="O319" s="19">
        <f t="shared" si="8"/>
        <v>1318</v>
      </c>
      <c r="P319" s="19">
        <f t="shared" si="9"/>
        <v>2208</v>
      </c>
      <c r="Q319" t="s">
        <v>23</v>
      </c>
      <c r="R319" t="s">
        <v>63</v>
      </c>
      <c r="T319">
        <v>1</v>
      </c>
      <c r="U319" s="19">
        <v>1583</v>
      </c>
      <c r="V319">
        <v>0</v>
      </c>
      <c r="W319" s="19">
        <v>0</v>
      </c>
      <c r="X319">
        <v>0</v>
      </c>
      <c r="Y319" s="19">
        <v>0</v>
      </c>
      <c r="Z319">
        <v>0</v>
      </c>
      <c r="AA319" s="19">
        <v>0</v>
      </c>
      <c r="AB319">
        <v>1</v>
      </c>
      <c r="AC319" s="19">
        <v>864</v>
      </c>
      <c r="AD319">
        <v>0</v>
      </c>
      <c r="AE319" s="19">
        <v>0</v>
      </c>
      <c r="AF319">
        <v>0</v>
      </c>
      <c r="AG319" s="19">
        <v>0</v>
      </c>
      <c r="AH319">
        <v>1</v>
      </c>
      <c r="AI319" s="19">
        <v>201</v>
      </c>
      <c r="AJ319">
        <v>1</v>
      </c>
      <c r="AK319" s="19">
        <v>101</v>
      </c>
      <c r="AL319">
        <v>1</v>
      </c>
      <c r="AM319" s="19">
        <v>201</v>
      </c>
      <c r="AN319">
        <v>1</v>
      </c>
      <c r="AO319" s="19">
        <v>216</v>
      </c>
      <c r="AP319">
        <v>1</v>
      </c>
      <c r="AQ319" s="19">
        <v>360</v>
      </c>
    </row>
    <row r="320" spans="1:43" x14ac:dyDescent="0.35">
      <c r="A320" s="18">
        <v>45608</v>
      </c>
      <c r="B320" t="s">
        <v>56</v>
      </c>
      <c r="C320" t="s">
        <v>53</v>
      </c>
      <c r="D320">
        <v>7</v>
      </c>
      <c r="E320">
        <v>2</v>
      </c>
      <c r="F320">
        <v>5</v>
      </c>
      <c r="G320" s="19">
        <v>3887</v>
      </c>
      <c r="H320" s="19">
        <v>2697</v>
      </c>
      <c r="I320" s="19">
        <v>1190</v>
      </c>
      <c r="J320" s="19">
        <v>250</v>
      </c>
      <c r="K320" s="19">
        <v>100</v>
      </c>
      <c r="L320" s="19">
        <v>833</v>
      </c>
      <c r="M320" s="19">
        <v>86</v>
      </c>
      <c r="N320" s="19">
        <v>57</v>
      </c>
      <c r="O320" s="19">
        <f t="shared" si="8"/>
        <v>1326</v>
      </c>
      <c r="P320" s="19">
        <f t="shared" si="9"/>
        <v>2561</v>
      </c>
      <c r="Q320" t="s">
        <v>23</v>
      </c>
      <c r="R320" t="s">
        <v>63</v>
      </c>
      <c r="T320">
        <v>1</v>
      </c>
      <c r="U320" s="19">
        <v>1745</v>
      </c>
      <c r="V320">
        <v>0</v>
      </c>
      <c r="W320" s="19">
        <v>0</v>
      </c>
      <c r="X320">
        <v>0</v>
      </c>
      <c r="Y320" s="19">
        <v>0</v>
      </c>
      <c r="Z320">
        <v>0</v>
      </c>
      <c r="AA320" s="19">
        <v>0</v>
      </c>
      <c r="AB320">
        <v>1</v>
      </c>
      <c r="AC320" s="19">
        <v>952</v>
      </c>
      <c r="AD320">
        <v>0</v>
      </c>
      <c r="AE320" s="19">
        <v>0</v>
      </c>
      <c r="AF320">
        <v>0</v>
      </c>
      <c r="AG320" s="19">
        <v>0</v>
      </c>
      <c r="AH320">
        <v>1</v>
      </c>
      <c r="AI320" s="19">
        <v>222</v>
      </c>
      <c r="AJ320">
        <v>1</v>
      </c>
      <c r="AK320" s="19">
        <v>111</v>
      </c>
      <c r="AL320">
        <v>1</v>
      </c>
      <c r="AM320" s="19">
        <v>222</v>
      </c>
      <c r="AN320">
        <v>1</v>
      </c>
      <c r="AO320" s="19">
        <v>238</v>
      </c>
      <c r="AP320">
        <v>1</v>
      </c>
      <c r="AQ320" s="19">
        <v>397</v>
      </c>
    </row>
    <row r="321" spans="1:43" x14ac:dyDescent="0.35">
      <c r="A321" s="18">
        <v>45609</v>
      </c>
      <c r="B321" t="s">
        <v>57</v>
      </c>
      <c r="C321" t="s">
        <v>53</v>
      </c>
      <c r="D321">
        <v>7</v>
      </c>
      <c r="E321">
        <v>2</v>
      </c>
      <c r="F321">
        <v>5</v>
      </c>
      <c r="G321" s="19">
        <v>3587</v>
      </c>
      <c r="H321" s="19">
        <v>2489</v>
      </c>
      <c r="I321" s="19">
        <v>1098</v>
      </c>
      <c r="J321" s="19">
        <v>250</v>
      </c>
      <c r="K321" s="19">
        <v>100</v>
      </c>
      <c r="L321" s="19">
        <v>833</v>
      </c>
      <c r="M321" s="19">
        <v>79</v>
      </c>
      <c r="N321" s="19">
        <v>57</v>
      </c>
      <c r="O321" s="19">
        <f t="shared" si="8"/>
        <v>1319</v>
      </c>
      <c r="P321" s="19">
        <f t="shared" si="9"/>
        <v>2268</v>
      </c>
      <c r="Q321" t="s">
        <v>23</v>
      </c>
      <c r="R321" t="s">
        <v>63</v>
      </c>
      <c r="T321">
        <v>1</v>
      </c>
      <c r="U321" s="19">
        <v>1610</v>
      </c>
      <c r="V321">
        <v>0</v>
      </c>
      <c r="W321" s="19">
        <v>0</v>
      </c>
      <c r="X321">
        <v>0</v>
      </c>
      <c r="Y321" s="19">
        <v>0</v>
      </c>
      <c r="Z321">
        <v>0</v>
      </c>
      <c r="AA321" s="19">
        <v>0</v>
      </c>
      <c r="AB321">
        <v>1</v>
      </c>
      <c r="AC321" s="19">
        <v>878</v>
      </c>
      <c r="AD321">
        <v>0</v>
      </c>
      <c r="AE321" s="19">
        <v>0</v>
      </c>
      <c r="AF321">
        <v>0</v>
      </c>
      <c r="AG321" s="19">
        <v>0</v>
      </c>
      <c r="AH321">
        <v>1</v>
      </c>
      <c r="AI321" s="19">
        <v>205</v>
      </c>
      <c r="AJ321">
        <v>1</v>
      </c>
      <c r="AK321" s="19">
        <v>102</v>
      </c>
      <c r="AL321">
        <v>1</v>
      </c>
      <c r="AM321" s="19">
        <v>205</v>
      </c>
      <c r="AN321">
        <v>1</v>
      </c>
      <c r="AO321" s="19">
        <v>220</v>
      </c>
      <c r="AP321">
        <v>1</v>
      </c>
      <c r="AQ321" s="19">
        <v>366</v>
      </c>
    </row>
    <row r="322" spans="1:43" x14ac:dyDescent="0.35">
      <c r="A322" s="18">
        <v>45610</v>
      </c>
      <c r="B322" t="s">
        <v>58</v>
      </c>
      <c r="C322" t="s">
        <v>53</v>
      </c>
      <c r="D322">
        <v>7</v>
      </c>
      <c r="E322">
        <v>2</v>
      </c>
      <c r="F322">
        <v>5</v>
      </c>
      <c r="G322" s="19">
        <v>3639</v>
      </c>
      <c r="H322" s="19">
        <v>2525</v>
      </c>
      <c r="I322" s="19">
        <v>1114</v>
      </c>
      <c r="J322" s="19">
        <v>250</v>
      </c>
      <c r="K322" s="19">
        <v>100</v>
      </c>
      <c r="L322" s="19">
        <v>833</v>
      </c>
      <c r="M322" s="19">
        <v>80</v>
      </c>
      <c r="N322" s="19">
        <v>57</v>
      </c>
      <c r="O322" s="19">
        <f t="shared" si="8"/>
        <v>1320</v>
      </c>
      <c r="P322" s="19">
        <f t="shared" si="9"/>
        <v>2319</v>
      </c>
      <c r="Q322" t="s">
        <v>23</v>
      </c>
      <c r="R322" t="s">
        <v>63</v>
      </c>
      <c r="T322">
        <v>1</v>
      </c>
      <c r="U322" s="19">
        <v>1634</v>
      </c>
      <c r="V322">
        <v>0</v>
      </c>
      <c r="W322" s="19">
        <v>0</v>
      </c>
      <c r="X322">
        <v>0</v>
      </c>
      <c r="Y322" s="19">
        <v>0</v>
      </c>
      <c r="Z322">
        <v>0</v>
      </c>
      <c r="AA322" s="19">
        <v>0</v>
      </c>
      <c r="AB322">
        <v>1</v>
      </c>
      <c r="AC322" s="19">
        <v>891</v>
      </c>
      <c r="AD322">
        <v>0</v>
      </c>
      <c r="AE322" s="19">
        <v>0</v>
      </c>
      <c r="AF322">
        <v>0</v>
      </c>
      <c r="AG322" s="19">
        <v>0</v>
      </c>
      <c r="AH322">
        <v>1</v>
      </c>
      <c r="AI322" s="19">
        <v>208</v>
      </c>
      <c r="AJ322">
        <v>1</v>
      </c>
      <c r="AK322" s="19">
        <v>104</v>
      </c>
      <c r="AL322">
        <v>1</v>
      </c>
      <c r="AM322" s="19">
        <v>208</v>
      </c>
      <c r="AN322">
        <v>1</v>
      </c>
      <c r="AO322" s="19">
        <v>223</v>
      </c>
      <c r="AP322">
        <v>1</v>
      </c>
      <c r="AQ322" s="19">
        <v>371</v>
      </c>
    </row>
    <row r="323" spans="1:43" x14ac:dyDescent="0.35">
      <c r="A323" s="18">
        <v>45611</v>
      </c>
      <c r="B323" t="s">
        <v>59</v>
      </c>
      <c r="C323" t="s">
        <v>53</v>
      </c>
      <c r="D323">
        <v>7</v>
      </c>
      <c r="E323">
        <v>2</v>
      </c>
      <c r="F323">
        <v>5</v>
      </c>
      <c r="G323" s="19">
        <v>3725</v>
      </c>
      <c r="H323" s="19">
        <v>2585</v>
      </c>
      <c r="I323" s="19">
        <v>1140</v>
      </c>
      <c r="J323" s="19">
        <v>250</v>
      </c>
      <c r="K323" s="19">
        <v>100</v>
      </c>
      <c r="L323" s="19">
        <v>833</v>
      </c>
      <c r="M323" s="19">
        <v>82</v>
      </c>
      <c r="N323" s="19">
        <v>57</v>
      </c>
      <c r="O323" s="19">
        <f t="shared" si="8"/>
        <v>1322</v>
      </c>
      <c r="P323" s="19">
        <f t="shared" si="9"/>
        <v>2403</v>
      </c>
      <c r="Q323" t="s">
        <v>23</v>
      </c>
      <c r="R323" t="s">
        <v>63</v>
      </c>
      <c r="T323">
        <v>1</v>
      </c>
      <c r="U323" s="19">
        <v>1672</v>
      </c>
      <c r="V323">
        <v>0</v>
      </c>
      <c r="W323" s="19">
        <v>0</v>
      </c>
      <c r="X323">
        <v>0</v>
      </c>
      <c r="Y323" s="19">
        <v>0</v>
      </c>
      <c r="Z323">
        <v>0</v>
      </c>
      <c r="AA323" s="19">
        <v>0</v>
      </c>
      <c r="AB323">
        <v>1</v>
      </c>
      <c r="AC323" s="19">
        <v>912</v>
      </c>
      <c r="AD323">
        <v>0</v>
      </c>
      <c r="AE323" s="19">
        <v>0</v>
      </c>
      <c r="AF323">
        <v>0</v>
      </c>
      <c r="AG323" s="19">
        <v>0</v>
      </c>
      <c r="AH323">
        <v>1</v>
      </c>
      <c r="AI323" s="19">
        <v>213</v>
      </c>
      <c r="AJ323">
        <v>1</v>
      </c>
      <c r="AK323" s="19">
        <v>106</v>
      </c>
      <c r="AL323">
        <v>1</v>
      </c>
      <c r="AM323" s="19">
        <v>213</v>
      </c>
      <c r="AN323">
        <v>1</v>
      </c>
      <c r="AO323" s="19">
        <v>228</v>
      </c>
      <c r="AP323">
        <v>1</v>
      </c>
      <c r="AQ323" s="19">
        <v>380</v>
      </c>
    </row>
    <row r="324" spans="1:43" x14ac:dyDescent="0.35">
      <c r="A324" s="18">
        <v>45612</v>
      </c>
      <c r="B324" t="s">
        <v>60</v>
      </c>
      <c r="C324" t="s">
        <v>61</v>
      </c>
      <c r="D324">
        <v>9</v>
      </c>
      <c r="E324">
        <v>4</v>
      </c>
      <c r="F324">
        <v>5</v>
      </c>
      <c r="G324" s="19">
        <v>4958</v>
      </c>
      <c r="H324" s="19">
        <v>3861</v>
      </c>
      <c r="I324" s="19">
        <v>1097</v>
      </c>
      <c r="J324" s="19">
        <v>250</v>
      </c>
      <c r="K324" s="19">
        <v>100</v>
      </c>
      <c r="L324" s="19">
        <v>833</v>
      </c>
      <c r="M324" s="19">
        <v>109</v>
      </c>
      <c r="N324" s="19">
        <v>73</v>
      </c>
      <c r="O324" s="19">
        <f t="shared" ref="O324:O387" si="10">SUM(J324:N324)</f>
        <v>1365</v>
      </c>
      <c r="P324" s="19">
        <f t="shared" ref="P324:P387" si="11">G324-O324</f>
        <v>3593</v>
      </c>
      <c r="Q324" t="s">
        <v>23</v>
      </c>
      <c r="R324" t="s">
        <v>63</v>
      </c>
      <c r="T324">
        <v>1</v>
      </c>
      <c r="U324" s="19">
        <v>1609</v>
      </c>
      <c r="V324">
        <v>0</v>
      </c>
      <c r="W324" s="19">
        <v>0</v>
      </c>
      <c r="X324">
        <v>0</v>
      </c>
      <c r="Y324" s="19">
        <v>0</v>
      </c>
      <c r="Z324">
        <v>1</v>
      </c>
      <c r="AA324" s="19">
        <v>1170</v>
      </c>
      <c r="AB324">
        <v>1</v>
      </c>
      <c r="AC324" s="19">
        <v>878</v>
      </c>
      <c r="AD324">
        <v>0</v>
      </c>
      <c r="AE324" s="19">
        <v>0</v>
      </c>
      <c r="AF324">
        <v>0</v>
      </c>
      <c r="AG324" s="19">
        <v>0</v>
      </c>
      <c r="AH324">
        <v>2</v>
      </c>
      <c r="AI324" s="19">
        <v>410</v>
      </c>
      <c r="AJ324">
        <v>1</v>
      </c>
      <c r="AK324" s="19">
        <v>102</v>
      </c>
      <c r="AL324">
        <v>1</v>
      </c>
      <c r="AM324" s="19">
        <v>205</v>
      </c>
      <c r="AN324">
        <v>1</v>
      </c>
      <c r="AO324" s="19">
        <v>219</v>
      </c>
      <c r="AP324">
        <v>1</v>
      </c>
      <c r="AQ324" s="19">
        <v>366</v>
      </c>
    </row>
    <row r="325" spans="1:43" x14ac:dyDescent="0.35">
      <c r="A325" s="18">
        <v>45613</v>
      </c>
      <c r="B325" t="s">
        <v>62</v>
      </c>
      <c r="C325" t="s">
        <v>61</v>
      </c>
      <c r="D325">
        <v>9</v>
      </c>
      <c r="E325">
        <v>3</v>
      </c>
      <c r="F325">
        <v>6</v>
      </c>
      <c r="G325" s="19">
        <v>4946</v>
      </c>
      <c r="H325" s="19">
        <v>2909</v>
      </c>
      <c r="I325" s="19">
        <v>2037</v>
      </c>
      <c r="J325" s="19">
        <v>250</v>
      </c>
      <c r="K325" s="19">
        <v>100</v>
      </c>
      <c r="L325" s="19">
        <v>833</v>
      </c>
      <c r="M325" s="19">
        <v>109</v>
      </c>
      <c r="N325" s="19">
        <v>73</v>
      </c>
      <c r="O325" s="19">
        <f t="shared" si="10"/>
        <v>1365</v>
      </c>
      <c r="P325" s="19">
        <f t="shared" si="11"/>
        <v>3581</v>
      </c>
      <c r="Q325" t="s">
        <v>23</v>
      </c>
      <c r="R325" t="s">
        <v>63</v>
      </c>
      <c r="T325">
        <v>1</v>
      </c>
      <c r="U325" s="19">
        <v>1280</v>
      </c>
      <c r="V325">
        <v>0</v>
      </c>
      <c r="W325" s="19">
        <v>0</v>
      </c>
      <c r="X325">
        <v>0</v>
      </c>
      <c r="Y325" s="19">
        <v>0</v>
      </c>
      <c r="Z325">
        <v>1</v>
      </c>
      <c r="AA325" s="19">
        <v>931</v>
      </c>
      <c r="AB325">
        <v>1</v>
      </c>
      <c r="AC325" s="19">
        <v>698</v>
      </c>
      <c r="AD325">
        <v>1</v>
      </c>
      <c r="AE325" s="19">
        <v>1164</v>
      </c>
      <c r="AF325">
        <v>0</v>
      </c>
      <c r="AG325" s="19">
        <v>0</v>
      </c>
      <c r="AH325">
        <v>1</v>
      </c>
      <c r="AI325" s="19">
        <v>163</v>
      </c>
      <c r="AJ325">
        <v>1</v>
      </c>
      <c r="AK325" s="19">
        <v>81</v>
      </c>
      <c r="AL325">
        <v>1</v>
      </c>
      <c r="AM325" s="19">
        <v>163</v>
      </c>
      <c r="AN325">
        <v>1</v>
      </c>
      <c r="AO325" s="19">
        <v>175</v>
      </c>
      <c r="AP325">
        <v>1</v>
      </c>
      <c r="AQ325" s="19">
        <v>291</v>
      </c>
    </row>
    <row r="326" spans="1:43" x14ac:dyDescent="0.35">
      <c r="A326" s="18">
        <v>45614</v>
      </c>
      <c r="B326" t="s">
        <v>52</v>
      </c>
      <c r="C326" t="s">
        <v>53</v>
      </c>
      <c r="D326">
        <v>7</v>
      </c>
      <c r="E326">
        <v>2</v>
      </c>
      <c r="F326">
        <v>5</v>
      </c>
      <c r="G326" s="19">
        <v>3503</v>
      </c>
      <c r="H326" s="19">
        <v>2431</v>
      </c>
      <c r="I326" s="19">
        <v>1072</v>
      </c>
      <c r="J326" s="19">
        <v>250</v>
      </c>
      <c r="K326" s="19">
        <v>100</v>
      </c>
      <c r="L326" s="19">
        <v>833</v>
      </c>
      <c r="M326" s="19">
        <v>77</v>
      </c>
      <c r="N326" s="19">
        <v>57</v>
      </c>
      <c r="O326" s="19">
        <f t="shared" si="10"/>
        <v>1317</v>
      </c>
      <c r="P326" s="19">
        <f t="shared" si="11"/>
        <v>2186</v>
      </c>
      <c r="Q326" t="s">
        <v>23</v>
      </c>
      <c r="R326" t="s">
        <v>63</v>
      </c>
      <c r="T326">
        <v>1</v>
      </c>
      <c r="U326" s="19">
        <v>1573</v>
      </c>
      <c r="V326">
        <v>0</v>
      </c>
      <c r="W326" s="19">
        <v>0</v>
      </c>
      <c r="X326">
        <v>0</v>
      </c>
      <c r="Y326" s="19">
        <v>0</v>
      </c>
      <c r="Z326">
        <v>0</v>
      </c>
      <c r="AA326" s="19">
        <v>0</v>
      </c>
      <c r="AB326">
        <v>1</v>
      </c>
      <c r="AC326" s="19">
        <v>858</v>
      </c>
      <c r="AD326">
        <v>0</v>
      </c>
      <c r="AE326" s="19">
        <v>0</v>
      </c>
      <c r="AF326">
        <v>0</v>
      </c>
      <c r="AG326" s="19">
        <v>0</v>
      </c>
      <c r="AH326">
        <v>1</v>
      </c>
      <c r="AI326" s="19">
        <v>200</v>
      </c>
      <c r="AJ326">
        <v>1</v>
      </c>
      <c r="AK326" s="19">
        <v>100</v>
      </c>
      <c r="AL326">
        <v>1</v>
      </c>
      <c r="AM326" s="19">
        <v>200</v>
      </c>
      <c r="AN326">
        <v>1</v>
      </c>
      <c r="AO326" s="19">
        <v>214</v>
      </c>
      <c r="AP326">
        <v>1</v>
      </c>
      <c r="AQ326" s="19">
        <v>357</v>
      </c>
    </row>
    <row r="327" spans="1:43" x14ac:dyDescent="0.35">
      <c r="A327" s="18">
        <v>45615</v>
      </c>
      <c r="B327" t="s">
        <v>56</v>
      </c>
      <c r="C327" t="s">
        <v>53</v>
      </c>
      <c r="D327">
        <v>7</v>
      </c>
      <c r="E327">
        <v>2</v>
      </c>
      <c r="F327">
        <v>5</v>
      </c>
      <c r="G327" s="19">
        <v>3824</v>
      </c>
      <c r="H327" s="19">
        <v>2653</v>
      </c>
      <c r="I327" s="19">
        <v>1171</v>
      </c>
      <c r="J327" s="19">
        <v>250</v>
      </c>
      <c r="K327" s="19">
        <v>100</v>
      </c>
      <c r="L327" s="19">
        <v>833</v>
      </c>
      <c r="M327" s="19">
        <v>84</v>
      </c>
      <c r="N327" s="19">
        <v>57</v>
      </c>
      <c r="O327" s="19">
        <f t="shared" si="10"/>
        <v>1324</v>
      </c>
      <c r="P327" s="19">
        <f t="shared" si="11"/>
        <v>2500</v>
      </c>
      <c r="Q327" t="s">
        <v>23</v>
      </c>
      <c r="R327" t="s">
        <v>63</v>
      </c>
      <c r="T327">
        <v>1</v>
      </c>
      <c r="U327" s="19">
        <v>1717</v>
      </c>
      <c r="V327">
        <v>0</v>
      </c>
      <c r="W327" s="19">
        <v>0</v>
      </c>
      <c r="X327">
        <v>0</v>
      </c>
      <c r="Y327" s="19">
        <v>0</v>
      </c>
      <c r="Z327">
        <v>0</v>
      </c>
      <c r="AA327" s="19">
        <v>0</v>
      </c>
      <c r="AB327">
        <v>1</v>
      </c>
      <c r="AC327" s="19">
        <v>936</v>
      </c>
      <c r="AD327">
        <v>0</v>
      </c>
      <c r="AE327" s="19">
        <v>0</v>
      </c>
      <c r="AF327">
        <v>0</v>
      </c>
      <c r="AG327" s="19">
        <v>0</v>
      </c>
      <c r="AH327">
        <v>1</v>
      </c>
      <c r="AI327" s="19">
        <v>219</v>
      </c>
      <c r="AJ327">
        <v>1</v>
      </c>
      <c r="AK327" s="19">
        <v>109</v>
      </c>
      <c r="AL327">
        <v>1</v>
      </c>
      <c r="AM327" s="19">
        <v>219</v>
      </c>
      <c r="AN327">
        <v>1</v>
      </c>
      <c r="AO327" s="19">
        <v>234</v>
      </c>
      <c r="AP327">
        <v>1</v>
      </c>
      <c r="AQ327" s="19">
        <v>390</v>
      </c>
    </row>
    <row r="328" spans="1:43" x14ac:dyDescent="0.35">
      <c r="A328" s="18">
        <v>45616</v>
      </c>
      <c r="B328" t="s">
        <v>57</v>
      </c>
      <c r="C328" t="s">
        <v>53</v>
      </c>
      <c r="D328">
        <v>7</v>
      </c>
      <c r="E328">
        <v>2</v>
      </c>
      <c r="F328">
        <v>5</v>
      </c>
      <c r="G328" s="19">
        <v>4005</v>
      </c>
      <c r="H328" s="19">
        <v>2779</v>
      </c>
      <c r="I328" s="19">
        <v>1226</v>
      </c>
      <c r="J328" s="19">
        <v>250</v>
      </c>
      <c r="K328" s="19">
        <v>100</v>
      </c>
      <c r="L328" s="19">
        <v>833</v>
      </c>
      <c r="M328" s="19">
        <v>88</v>
      </c>
      <c r="N328" s="19">
        <v>57</v>
      </c>
      <c r="O328" s="19">
        <f t="shared" si="10"/>
        <v>1328</v>
      </c>
      <c r="P328" s="19">
        <f t="shared" si="11"/>
        <v>2677</v>
      </c>
      <c r="Q328" t="s">
        <v>23</v>
      </c>
      <c r="R328" t="s">
        <v>63</v>
      </c>
      <c r="T328">
        <v>1</v>
      </c>
      <c r="U328" s="19">
        <v>1798</v>
      </c>
      <c r="V328">
        <v>0</v>
      </c>
      <c r="W328" s="19">
        <v>0</v>
      </c>
      <c r="X328">
        <v>0</v>
      </c>
      <c r="Y328" s="19">
        <v>0</v>
      </c>
      <c r="Z328">
        <v>0</v>
      </c>
      <c r="AA328" s="19">
        <v>0</v>
      </c>
      <c r="AB328">
        <v>1</v>
      </c>
      <c r="AC328" s="19">
        <v>981</v>
      </c>
      <c r="AD328">
        <v>0</v>
      </c>
      <c r="AE328" s="19">
        <v>0</v>
      </c>
      <c r="AF328">
        <v>0</v>
      </c>
      <c r="AG328" s="19">
        <v>0</v>
      </c>
      <c r="AH328">
        <v>1</v>
      </c>
      <c r="AI328" s="19">
        <v>229</v>
      </c>
      <c r="AJ328">
        <v>1</v>
      </c>
      <c r="AK328" s="19">
        <v>114</v>
      </c>
      <c r="AL328">
        <v>1</v>
      </c>
      <c r="AM328" s="19">
        <v>229</v>
      </c>
      <c r="AN328">
        <v>1</v>
      </c>
      <c r="AO328" s="19">
        <v>245</v>
      </c>
      <c r="AP328">
        <v>1</v>
      </c>
      <c r="AQ328" s="19">
        <v>409</v>
      </c>
    </row>
    <row r="329" spans="1:43" x14ac:dyDescent="0.35">
      <c r="A329" s="18">
        <v>45617</v>
      </c>
      <c r="B329" t="s">
        <v>58</v>
      </c>
      <c r="C329" t="s">
        <v>53</v>
      </c>
      <c r="D329">
        <v>7</v>
      </c>
      <c r="E329">
        <v>2</v>
      </c>
      <c r="F329">
        <v>5</v>
      </c>
      <c r="G329" s="19">
        <v>3835</v>
      </c>
      <c r="H329" s="19">
        <v>2661</v>
      </c>
      <c r="I329" s="19">
        <v>1174</v>
      </c>
      <c r="J329" s="19">
        <v>250</v>
      </c>
      <c r="K329" s="19">
        <v>100</v>
      </c>
      <c r="L329" s="19">
        <v>833</v>
      </c>
      <c r="M329" s="19">
        <v>85</v>
      </c>
      <c r="N329" s="19">
        <v>57</v>
      </c>
      <c r="O329" s="19">
        <f t="shared" si="10"/>
        <v>1325</v>
      </c>
      <c r="P329" s="19">
        <f t="shared" si="11"/>
        <v>2510</v>
      </c>
      <c r="Q329" t="s">
        <v>23</v>
      </c>
      <c r="R329" t="s">
        <v>63</v>
      </c>
      <c r="T329">
        <v>1</v>
      </c>
      <c r="U329" s="19">
        <v>1722</v>
      </c>
      <c r="V329">
        <v>0</v>
      </c>
      <c r="W329" s="19">
        <v>0</v>
      </c>
      <c r="X329">
        <v>0</v>
      </c>
      <c r="Y329" s="19">
        <v>0</v>
      </c>
      <c r="Z329">
        <v>0</v>
      </c>
      <c r="AA329" s="19">
        <v>0</v>
      </c>
      <c r="AB329">
        <v>1</v>
      </c>
      <c r="AC329" s="19">
        <v>939</v>
      </c>
      <c r="AD329">
        <v>0</v>
      </c>
      <c r="AE329" s="19">
        <v>0</v>
      </c>
      <c r="AF329">
        <v>0</v>
      </c>
      <c r="AG329" s="19">
        <v>0</v>
      </c>
      <c r="AH329">
        <v>1</v>
      </c>
      <c r="AI329" s="19">
        <v>219</v>
      </c>
      <c r="AJ329">
        <v>1</v>
      </c>
      <c r="AK329" s="19">
        <v>110</v>
      </c>
      <c r="AL329">
        <v>1</v>
      </c>
      <c r="AM329" s="19">
        <v>219</v>
      </c>
      <c r="AN329">
        <v>1</v>
      </c>
      <c r="AO329" s="19">
        <v>235</v>
      </c>
      <c r="AP329">
        <v>1</v>
      </c>
      <c r="AQ329" s="19">
        <v>391</v>
      </c>
    </row>
    <row r="330" spans="1:43" x14ac:dyDescent="0.35">
      <c r="A330" s="18">
        <v>45618</v>
      </c>
      <c r="B330" t="s">
        <v>59</v>
      </c>
      <c r="C330" t="s">
        <v>53</v>
      </c>
      <c r="D330">
        <v>7</v>
      </c>
      <c r="E330">
        <v>3</v>
      </c>
      <c r="F330">
        <v>4</v>
      </c>
      <c r="G330" s="19">
        <v>3736</v>
      </c>
      <c r="H330" s="19">
        <v>3113</v>
      </c>
      <c r="I330" s="19">
        <v>623</v>
      </c>
      <c r="J330" s="19">
        <v>250</v>
      </c>
      <c r="K330" s="19">
        <v>100</v>
      </c>
      <c r="L330" s="19">
        <v>833</v>
      </c>
      <c r="M330" s="19">
        <v>82</v>
      </c>
      <c r="N330" s="19">
        <v>57</v>
      </c>
      <c r="O330" s="19">
        <f t="shared" si="10"/>
        <v>1322</v>
      </c>
      <c r="P330" s="19">
        <f t="shared" si="11"/>
        <v>2414</v>
      </c>
      <c r="Q330" t="s">
        <v>23</v>
      </c>
      <c r="R330" t="s">
        <v>63</v>
      </c>
      <c r="T330">
        <v>1</v>
      </c>
      <c r="U330" s="19">
        <v>1370</v>
      </c>
      <c r="V330">
        <v>0</v>
      </c>
      <c r="W330" s="19">
        <v>0</v>
      </c>
      <c r="X330">
        <v>0</v>
      </c>
      <c r="Y330" s="19">
        <v>0</v>
      </c>
      <c r="Z330">
        <v>1</v>
      </c>
      <c r="AA330" s="19">
        <v>996</v>
      </c>
      <c r="AB330">
        <v>1</v>
      </c>
      <c r="AC330" s="19">
        <v>747</v>
      </c>
      <c r="AD330">
        <v>0</v>
      </c>
      <c r="AE330" s="19">
        <v>0</v>
      </c>
      <c r="AF330">
        <v>0</v>
      </c>
      <c r="AG330" s="19">
        <v>0</v>
      </c>
      <c r="AH330">
        <v>1</v>
      </c>
      <c r="AI330" s="19">
        <v>174</v>
      </c>
      <c r="AJ330">
        <v>1</v>
      </c>
      <c r="AK330" s="19">
        <v>87</v>
      </c>
      <c r="AL330">
        <v>1</v>
      </c>
      <c r="AM330" s="19">
        <v>174</v>
      </c>
      <c r="AN330">
        <v>1</v>
      </c>
      <c r="AO330" s="19">
        <v>187</v>
      </c>
      <c r="AP330">
        <v>0</v>
      </c>
      <c r="AQ330" s="19">
        <v>0</v>
      </c>
    </row>
    <row r="331" spans="1:43" x14ac:dyDescent="0.35">
      <c r="A331" s="18">
        <v>45619</v>
      </c>
      <c r="B331" t="s">
        <v>60</v>
      </c>
      <c r="C331" t="s">
        <v>61</v>
      </c>
      <c r="D331">
        <v>10</v>
      </c>
      <c r="E331">
        <v>4</v>
      </c>
      <c r="F331">
        <v>6</v>
      </c>
      <c r="G331" s="19">
        <v>5304</v>
      </c>
      <c r="H331" s="19">
        <v>3190</v>
      </c>
      <c r="I331" s="19">
        <v>2114</v>
      </c>
      <c r="J331" s="19">
        <v>250</v>
      </c>
      <c r="K331" s="19">
        <v>100</v>
      </c>
      <c r="L331" s="19">
        <v>833</v>
      </c>
      <c r="M331" s="19">
        <v>117</v>
      </c>
      <c r="N331" s="19">
        <v>81</v>
      </c>
      <c r="O331" s="19">
        <f t="shared" si="10"/>
        <v>1381</v>
      </c>
      <c r="P331" s="19">
        <f t="shared" si="11"/>
        <v>3923</v>
      </c>
      <c r="Q331" t="s">
        <v>23</v>
      </c>
      <c r="R331" t="s">
        <v>63</v>
      </c>
      <c r="T331">
        <v>1</v>
      </c>
      <c r="U331" s="19">
        <v>1329</v>
      </c>
      <c r="V331">
        <v>0</v>
      </c>
      <c r="W331" s="19">
        <v>0</v>
      </c>
      <c r="X331">
        <v>0</v>
      </c>
      <c r="Y331" s="19">
        <v>0</v>
      </c>
      <c r="Z331">
        <v>1</v>
      </c>
      <c r="AA331" s="19">
        <v>967</v>
      </c>
      <c r="AB331">
        <v>1</v>
      </c>
      <c r="AC331" s="19">
        <v>725</v>
      </c>
      <c r="AD331">
        <v>1</v>
      </c>
      <c r="AE331" s="19">
        <v>1208</v>
      </c>
      <c r="AF331">
        <v>0</v>
      </c>
      <c r="AG331" s="19">
        <v>0</v>
      </c>
      <c r="AH331">
        <v>2</v>
      </c>
      <c r="AI331" s="19">
        <v>338</v>
      </c>
      <c r="AJ331">
        <v>1</v>
      </c>
      <c r="AK331" s="19">
        <v>85</v>
      </c>
      <c r="AL331">
        <v>1</v>
      </c>
      <c r="AM331" s="19">
        <v>169</v>
      </c>
      <c r="AN331">
        <v>1</v>
      </c>
      <c r="AO331" s="19">
        <v>181</v>
      </c>
      <c r="AP331">
        <v>1</v>
      </c>
      <c r="AQ331" s="19">
        <v>302</v>
      </c>
    </row>
    <row r="332" spans="1:43" x14ac:dyDescent="0.35">
      <c r="A332" s="18">
        <v>45620</v>
      </c>
      <c r="B332" t="s">
        <v>62</v>
      </c>
      <c r="C332" t="s">
        <v>61</v>
      </c>
      <c r="D332">
        <v>9</v>
      </c>
      <c r="E332">
        <v>4</v>
      </c>
      <c r="F332">
        <v>5</v>
      </c>
      <c r="G332" s="19">
        <v>4803</v>
      </c>
      <c r="H332" s="19">
        <v>3740</v>
      </c>
      <c r="I332" s="19">
        <v>1063</v>
      </c>
      <c r="J332" s="19">
        <v>250</v>
      </c>
      <c r="K332" s="19">
        <v>100</v>
      </c>
      <c r="L332" s="19">
        <v>833</v>
      </c>
      <c r="M332" s="19">
        <v>106</v>
      </c>
      <c r="N332" s="19">
        <v>73</v>
      </c>
      <c r="O332" s="19">
        <f t="shared" si="10"/>
        <v>1362</v>
      </c>
      <c r="P332" s="19">
        <f t="shared" si="11"/>
        <v>3441</v>
      </c>
      <c r="Q332" t="s">
        <v>23</v>
      </c>
      <c r="R332" t="s">
        <v>63</v>
      </c>
      <c r="T332">
        <v>1</v>
      </c>
      <c r="U332" s="19">
        <v>1558</v>
      </c>
      <c r="V332">
        <v>0</v>
      </c>
      <c r="W332" s="19">
        <v>0</v>
      </c>
      <c r="X332">
        <v>0</v>
      </c>
      <c r="Y332" s="19">
        <v>0</v>
      </c>
      <c r="Z332">
        <v>1</v>
      </c>
      <c r="AA332" s="19">
        <v>1133</v>
      </c>
      <c r="AB332">
        <v>1</v>
      </c>
      <c r="AC332" s="19">
        <v>850</v>
      </c>
      <c r="AD332">
        <v>0</v>
      </c>
      <c r="AE332" s="19">
        <v>0</v>
      </c>
      <c r="AF332">
        <v>0</v>
      </c>
      <c r="AG332" s="19">
        <v>0</v>
      </c>
      <c r="AH332">
        <v>2</v>
      </c>
      <c r="AI332" s="19">
        <v>397</v>
      </c>
      <c r="AJ332">
        <v>1</v>
      </c>
      <c r="AK332" s="19">
        <v>99</v>
      </c>
      <c r="AL332">
        <v>1</v>
      </c>
      <c r="AM332" s="19">
        <v>198</v>
      </c>
      <c r="AN332">
        <v>1</v>
      </c>
      <c r="AO332" s="19">
        <v>213</v>
      </c>
      <c r="AP332">
        <v>1</v>
      </c>
      <c r="AQ332" s="19">
        <v>354</v>
      </c>
    </row>
    <row r="333" spans="1:43" x14ac:dyDescent="0.35">
      <c r="A333" s="18">
        <v>45621</v>
      </c>
      <c r="B333" t="s">
        <v>52</v>
      </c>
      <c r="C333" t="s">
        <v>53</v>
      </c>
      <c r="D333">
        <v>6</v>
      </c>
      <c r="E333">
        <v>2</v>
      </c>
      <c r="F333">
        <v>4</v>
      </c>
      <c r="G333" s="19">
        <v>3304</v>
      </c>
      <c r="H333" s="19">
        <v>2553</v>
      </c>
      <c r="I333" s="19">
        <v>751</v>
      </c>
      <c r="J333" s="19">
        <v>250</v>
      </c>
      <c r="K333" s="19">
        <v>100</v>
      </c>
      <c r="L333" s="19">
        <v>833</v>
      </c>
      <c r="M333" s="19">
        <v>73</v>
      </c>
      <c r="N333" s="19">
        <v>49</v>
      </c>
      <c r="O333" s="19">
        <f t="shared" si="10"/>
        <v>1305</v>
      </c>
      <c r="P333" s="19">
        <f t="shared" si="11"/>
        <v>1999</v>
      </c>
      <c r="Q333" t="s">
        <v>23</v>
      </c>
      <c r="R333" t="s">
        <v>63</v>
      </c>
      <c r="T333">
        <v>1</v>
      </c>
      <c r="U333" s="19">
        <v>1652</v>
      </c>
      <c r="V333">
        <v>0</v>
      </c>
      <c r="W333" s="19">
        <v>0</v>
      </c>
      <c r="X333">
        <v>0</v>
      </c>
      <c r="Y333" s="19">
        <v>0</v>
      </c>
      <c r="Z333">
        <v>0</v>
      </c>
      <c r="AA333" s="19">
        <v>0</v>
      </c>
      <c r="AB333">
        <v>1</v>
      </c>
      <c r="AC333" s="19">
        <v>901</v>
      </c>
      <c r="AD333">
        <v>0</v>
      </c>
      <c r="AE333" s="19">
        <v>0</v>
      </c>
      <c r="AF333">
        <v>0</v>
      </c>
      <c r="AG333" s="19">
        <v>0</v>
      </c>
      <c r="AH333">
        <v>1</v>
      </c>
      <c r="AI333" s="19">
        <v>210</v>
      </c>
      <c r="AJ333">
        <v>1</v>
      </c>
      <c r="AK333" s="19">
        <v>105</v>
      </c>
      <c r="AL333">
        <v>1</v>
      </c>
      <c r="AM333" s="19">
        <v>210</v>
      </c>
      <c r="AN333">
        <v>1</v>
      </c>
      <c r="AO333" s="19">
        <v>225</v>
      </c>
      <c r="AP333">
        <v>0</v>
      </c>
      <c r="AQ333" s="19">
        <v>0</v>
      </c>
    </row>
    <row r="334" spans="1:43" x14ac:dyDescent="0.35">
      <c r="A334" s="18">
        <v>45622</v>
      </c>
      <c r="B334" t="s">
        <v>56</v>
      </c>
      <c r="C334" t="s">
        <v>53</v>
      </c>
      <c r="D334">
        <v>6</v>
      </c>
      <c r="E334">
        <v>2</v>
      </c>
      <c r="F334">
        <v>4</v>
      </c>
      <c r="G334" s="19">
        <v>3339</v>
      </c>
      <c r="H334" s="19">
        <v>2580</v>
      </c>
      <c r="I334" s="19">
        <v>759</v>
      </c>
      <c r="J334" s="19">
        <v>250</v>
      </c>
      <c r="K334" s="19">
        <v>100</v>
      </c>
      <c r="L334" s="19">
        <v>833</v>
      </c>
      <c r="M334" s="19">
        <v>74</v>
      </c>
      <c r="N334" s="19">
        <v>49</v>
      </c>
      <c r="O334" s="19">
        <f t="shared" si="10"/>
        <v>1306</v>
      </c>
      <c r="P334" s="19">
        <f t="shared" si="11"/>
        <v>2033</v>
      </c>
      <c r="Q334" t="s">
        <v>23</v>
      </c>
      <c r="R334" t="s">
        <v>63</v>
      </c>
      <c r="T334">
        <v>1</v>
      </c>
      <c r="U334" s="19">
        <v>1670</v>
      </c>
      <c r="V334">
        <v>0</v>
      </c>
      <c r="W334" s="19">
        <v>0</v>
      </c>
      <c r="X334">
        <v>0</v>
      </c>
      <c r="Y334" s="19">
        <v>0</v>
      </c>
      <c r="Z334">
        <v>0</v>
      </c>
      <c r="AA334" s="19">
        <v>0</v>
      </c>
      <c r="AB334">
        <v>1</v>
      </c>
      <c r="AC334" s="19">
        <v>911</v>
      </c>
      <c r="AD334">
        <v>0</v>
      </c>
      <c r="AE334" s="19">
        <v>0</v>
      </c>
      <c r="AF334">
        <v>0</v>
      </c>
      <c r="AG334" s="19">
        <v>0</v>
      </c>
      <c r="AH334">
        <v>1</v>
      </c>
      <c r="AI334" s="19">
        <v>212</v>
      </c>
      <c r="AJ334">
        <v>1</v>
      </c>
      <c r="AK334" s="19">
        <v>106</v>
      </c>
      <c r="AL334">
        <v>1</v>
      </c>
      <c r="AM334" s="19">
        <v>212</v>
      </c>
      <c r="AN334">
        <v>1</v>
      </c>
      <c r="AO334" s="19">
        <v>228</v>
      </c>
      <c r="AP334">
        <v>0</v>
      </c>
      <c r="AQ334" s="19">
        <v>0</v>
      </c>
    </row>
    <row r="335" spans="1:43" x14ac:dyDescent="0.35">
      <c r="A335" s="18">
        <v>45623</v>
      </c>
      <c r="B335" t="s">
        <v>57</v>
      </c>
      <c r="C335" t="s">
        <v>53</v>
      </c>
      <c r="D335">
        <v>7</v>
      </c>
      <c r="E335">
        <v>2</v>
      </c>
      <c r="F335">
        <v>5</v>
      </c>
      <c r="G335" s="19">
        <v>3778</v>
      </c>
      <c r="H335" s="19">
        <v>2621</v>
      </c>
      <c r="I335" s="19">
        <v>1157</v>
      </c>
      <c r="J335" s="19">
        <v>250</v>
      </c>
      <c r="K335" s="19">
        <v>100</v>
      </c>
      <c r="L335" s="19">
        <v>833</v>
      </c>
      <c r="M335" s="19">
        <v>83</v>
      </c>
      <c r="N335" s="19">
        <v>57</v>
      </c>
      <c r="O335" s="19">
        <f t="shared" si="10"/>
        <v>1323</v>
      </c>
      <c r="P335" s="19">
        <f t="shared" si="11"/>
        <v>2455</v>
      </c>
      <c r="Q335" t="s">
        <v>23</v>
      </c>
      <c r="R335" t="s">
        <v>63</v>
      </c>
      <c r="T335">
        <v>1</v>
      </c>
      <c r="U335" s="19">
        <v>1696</v>
      </c>
      <c r="V335">
        <v>0</v>
      </c>
      <c r="W335" s="19">
        <v>0</v>
      </c>
      <c r="X335">
        <v>0</v>
      </c>
      <c r="Y335" s="19">
        <v>0</v>
      </c>
      <c r="Z335">
        <v>0</v>
      </c>
      <c r="AA335" s="19">
        <v>0</v>
      </c>
      <c r="AB335">
        <v>1</v>
      </c>
      <c r="AC335" s="19">
        <v>925</v>
      </c>
      <c r="AD335">
        <v>0</v>
      </c>
      <c r="AE335" s="19">
        <v>0</v>
      </c>
      <c r="AF335">
        <v>0</v>
      </c>
      <c r="AG335" s="19">
        <v>0</v>
      </c>
      <c r="AH335">
        <v>1</v>
      </c>
      <c r="AI335" s="19">
        <v>216</v>
      </c>
      <c r="AJ335">
        <v>1</v>
      </c>
      <c r="AK335" s="19">
        <v>108</v>
      </c>
      <c r="AL335">
        <v>1</v>
      </c>
      <c r="AM335" s="19">
        <v>216</v>
      </c>
      <c r="AN335">
        <v>1</v>
      </c>
      <c r="AO335" s="19">
        <v>231</v>
      </c>
      <c r="AP335">
        <v>1</v>
      </c>
      <c r="AQ335" s="19">
        <v>386</v>
      </c>
    </row>
    <row r="336" spans="1:43" x14ac:dyDescent="0.35">
      <c r="A336" s="18">
        <v>45624</v>
      </c>
      <c r="B336" t="s">
        <v>58</v>
      </c>
      <c r="C336" t="s">
        <v>53</v>
      </c>
      <c r="D336">
        <v>8</v>
      </c>
      <c r="E336">
        <v>3</v>
      </c>
      <c r="F336">
        <v>5</v>
      </c>
      <c r="G336" s="19">
        <v>4038</v>
      </c>
      <c r="H336" s="19">
        <v>3106</v>
      </c>
      <c r="I336" s="19">
        <v>932</v>
      </c>
      <c r="J336" s="19">
        <v>250</v>
      </c>
      <c r="K336" s="19">
        <v>100</v>
      </c>
      <c r="L336" s="19">
        <v>833</v>
      </c>
      <c r="M336" s="19">
        <v>89</v>
      </c>
      <c r="N336" s="19">
        <v>65</v>
      </c>
      <c r="O336" s="19">
        <f t="shared" si="10"/>
        <v>1337</v>
      </c>
      <c r="P336" s="19">
        <f t="shared" si="11"/>
        <v>2701</v>
      </c>
      <c r="Q336" t="s">
        <v>23</v>
      </c>
      <c r="R336" t="s">
        <v>63</v>
      </c>
      <c r="T336">
        <v>1</v>
      </c>
      <c r="U336" s="19">
        <v>1367</v>
      </c>
      <c r="V336">
        <v>0</v>
      </c>
      <c r="W336" s="19">
        <v>0</v>
      </c>
      <c r="X336">
        <v>0</v>
      </c>
      <c r="Y336" s="19">
        <v>0</v>
      </c>
      <c r="Z336">
        <v>1</v>
      </c>
      <c r="AA336" s="19">
        <v>994</v>
      </c>
      <c r="AB336">
        <v>1</v>
      </c>
      <c r="AC336" s="19">
        <v>745</v>
      </c>
      <c r="AD336">
        <v>0</v>
      </c>
      <c r="AE336" s="19">
        <v>0</v>
      </c>
      <c r="AF336">
        <v>0</v>
      </c>
      <c r="AG336" s="19">
        <v>0</v>
      </c>
      <c r="AH336">
        <v>1</v>
      </c>
      <c r="AI336" s="19">
        <v>174</v>
      </c>
      <c r="AJ336">
        <v>1</v>
      </c>
      <c r="AK336" s="19">
        <v>87</v>
      </c>
      <c r="AL336">
        <v>1</v>
      </c>
      <c r="AM336" s="19">
        <v>174</v>
      </c>
      <c r="AN336">
        <v>1</v>
      </c>
      <c r="AO336" s="19">
        <v>186</v>
      </c>
      <c r="AP336">
        <v>1</v>
      </c>
      <c r="AQ336" s="19">
        <v>311</v>
      </c>
    </row>
    <row r="337" spans="1:43" x14ac:dyDescent="0.35">
      <c r="A337" s="18">
        <v>45625</v>
      </c>
      <c r="B337" t="s">
        <v>59</v>
      </c>
      <c r="C337" t="s">
        <v>53</v>
      </c>
      <c r="D337">
        <v>8</v>
      </c>
      <c r="E337">
        <v>3</v>
      </c>
      <c r="F337">
        <v>5</v>
      </c>
      <c r="G337" s="19">
        <v>4192</v>
      </c>
      <c r="H337" s="19">
        <v>3225</v>
      </c>
      <c r="I337" s="19">
        <v>967</v>
      </c>
      <c r="J337" s="19">
        <v>250</v>
      </c>
      <c r="K337" s="19">
        <v>100</v>
      </c>
      <c r="L337" s="19">
        <v>833</v>
      </c>
      <c r="M337" s="19">
        <v>92</v>
      </c>
      <c r="N337" s="19">
        <v>65</v>
      </c>
      <c r="O337" s="19">
        <f t="shared" si="10"/>
        <v>1340</v>
      </c>
      <c r="P337" s="19">
        <f t="shared" si="11"/>
        <v>2852</v>
      </c>
      <c r="Q337" t="s">
        <v>23</v>
      </c>
      <c r="R337" t="s">
        <v>63</v>
      </c>
      <c r="T337">
        <v>1</v>
      </c>
      <c r="U337" s="19">
        <v>1419</v>
      </c>
      <c r="V337">
        <v>0</v>
      </c>
      <c r="W337" s="19">
        <v>0</v>
      </c>
      <c r="X337">
        <v>0</v>
      </c>
      <c r="Y337" s="19">
        <v>0</v>
      </c>
      <c r="Z337">
        <v>1</v>
      </c>
      <c r="AA337" s="19">
        <v>1032</v>
      </c>
      <c r="AB337">
        <v>1</v>
      </c>
      <c r="AC337" s="19">
        <v>774</v>
      </c>
      <c r="AD337">
        <v>0</v>
      </c>
      <c r="AE337" s="19">
        <v>0</v>
      </c>
      <c r="AF337">
        <v>0</v>
      </c>
      <c r="AG337" s="19">
        <v>0</v>
      </c>
      <c r="AH337">
        <v>1</v>
      </c>
      <c r="AI337" s="19">
        <v>181</v>
      </c>
      <c r="AJ337">
        <v>1</v>
      </c>
      <c r="AK337" s="19">
        <v>90</v>
      </c>
      <c r="AL337">
        <v>1</v>
      </c>
      <c r="AM337" s="19">
        <v>181</v>
      </c>
      <c r="AN337">
        <v>1</v>
      </c>
      <c r="AO337" s="19">
        <v>193</v>
      </c>
      <c r="AP337">
        <v>1</v>
      </c>
      <c r="AQ337" s="19">
        <v>322</v>
      </c>
    </row>
    <row r="338" spans="1:43" x14ac:dyDescent="0.35">
      <c r="A338" s="18">
        <v>45626</v>
      </c>
      <c r="B338" t="s">
        <v>60</v>
      </c>
      <c r="C338" t="s">
        <v>61</v>
      </c>
      <c r="D338">
        <v>10</v>
      </c>
      <c r="E338">
        <v>5</v>
      </c>
      <c r="F338">
        <v>5</v>
      </c>
      <c r="G338" s="19">
        <v>5120</v>
      </c>
      <c r="H338" s="19">
        <v>4373</v>
      </c>
      <c r="I338" s="19">
        <v>747</v>
      </c>
      <c r="J338" s="19">
        <v>250</v>
      </c>
      <c r="K338" s="19">
        <v>100</v>
      </c>
      <c r="L338" s="19">
        <v>833</v>
      </c>
      <c r="M338" s="19">
        <v>113</v>
      </c>
      <c r="N338" s="19">
        <v>81</v>
      </c>
      <c r="O338" s="19">
        <f t="shared" si="10"/>
        <v>1377</v>
      </c>
      <c r="P338" s="19">
        <f t="shared" si="11"/>
        <v>3743</v>
      </c>
      <c r="Q338" t="s">
        <v>25</v>
      </c>
      <c r="R338" t="s">
        <v>63</v>
      </c>
      <c r="T338">
        <v>1</v>
      </c>
      <c r="U338" s="19">
        <v>1096</v>
      </c>
      <c r="V338">
        <v>0</v>
      </c>
      <c r="W338" s="19">
        <v>0</v>
      </c>
      <c r="X338">
        <v>1</v>
      </c>
      <c r="Y338" s="19">
        <v>1743</v>
      </c>
      <c r="Z338">
        <v>1</v>
      </c>
      <c r="AA338" s="19">
        <v>797</v>
      </c>
      <c r="AB338">
        <v>1</v>
      </c>
      <c r="AC338" s="19">
        <v>598</v>
      </c>
      <c r="AD338">
        <v>0</v>
      </c>
      <c r="AE338" s="19">
        <v>0</v>
      </c>
      <c r="AF338">
        <v>0</v>
      </c>
      <c r="AG338" s="19">
        <v>0</v>
      </c>
      <c r="AH338">
        <v>2</v>
      </c>
      <c r="AI338" s="19">
        <v>279</v>
      </c>
      <c r="AJ338">
        <v>1</v>
      </c>
      <c r="AK338" s="19">
        <v>70</v>
      </c>
      <c r="AL338">
        <v>1</v>
      </c>
      <c r="AM338" s="19">
        <v>139</v>
      </c>
      <c r="AN338">
        <v>1</v>
      </c>
      <c r="AO338" s="19">
        <v>149</v>
      </c>
      <c r="AP338">
        <v>1</v>
      </c>
      <c r="AQ338" s="19">
        <v>249</v>
      </c>
    </row>
    <row r="339" spans="1:43" x14ac:dyDescent="0.35">
      <c r="A339" s="18">
        <v>45627</v>
      </c>
      <c r="B339" t="s">
        <v>62</v>
      </c>
      <c r="C339" t="s">
        <v>61</v>
      </c>
      <c r="D339">
        <v>14</v>
      </c>
      <c r="E339">
        <v>8</v>
      </c>
      <c r="F339">
        <v>6</v>
      </c>
      <c r="G339" s="19">
        <v>7168</v>
      </c>
      <c r="H339" s="19">
        <v>5238</v>
      </c>
      <c r="I339" s="19">
        <v>1930</v>
      </c>
      <c r="J339" s="19">
        <v>290</v>
      </c>
      <c r="K339" s="19">
        <v>113</v>
      </c>
      <c r="L339" s="19">
        <v>806</v>
      </c>
      <c r="M339" s="19">
        <v>158</v>
      </c>
      <c r="N339" s="19">
        <v>113</v>
      </c>
      <c r="O339" s="19">
        <f t="shared" si="10"/>
        <v>1480</v>
      </c>
      <c r="P339" s="19">
        <f t="shared" si="11"/>
        <v>5688</v>
      </c>
      <c r="Q339" t="s">
        <v>25</v>
      </c>
      <c r="R339" t="s">
        <v>66</v>
      </c>
      <c r="T339">
        <v>1</v>
      </c>
      <c r="U339" s="19">
        <v>1213</v>
      </c>
      <c r="V339">
        <v>0</v>
      </c>
      <c r="W339" s="19">
        <v>0</v>
      </c>
      <c r="X339">
        <v>1</v>
      </c>
      <c r="Y339" s="19">
        <v>1930</v>
      </c>
      <c r="Z339">
        <v>1</v>
      </c>
      <c r="AA339" s="19">
        <v>882</v>
      </c>
      <c r="AB339">
        <v>1</v>
      </c>
      <c r="AC339" s="19">
        <v>662</v>
      </c>
      <c r="AD339">
        <v>1</v>
      </c>
      <c r="AE339" s="19">
        <v>1103</v>
      </c>
      <c r="AF339">
        <v>0</v>
      </c>
      <c r="AG339" s="19">
        <v>0</v>
      </c>
      <c r="AH339">
        <v>2</v>
      </c>
      <c r="AI339" s="19">
        <v>309</v>
      </c>
      <c r="AJ339">
        <v>2</v>
      </c>
      <c r="AK339" s="19">
        <v>154</v>
      </c>
      <c r="AL339">
        <v>2</v>
      </c>
      <c r="AM339" s="19">
        <v>309</v>
      </c>
      <c r="AN339">
        <v>2</v>
      </c>
      <c r="AO339" s="19">
        <v>331</v>
      </c>
      <c r="AP339">
        <v>1</v>
      </c>
      <c r="AQ339" s="19">
        <v>276</v>
      </c>
    </row>
    <row r="340" spans="1:43" x14ac:dyDescent="0.35">
      <c r="A340" s="18">
        <v>45628</v>
      </c>
      <c r="B340" t="s">
        <v>52</v>
      </c>
      <c r="C340" t="s">
        <v>53</v>
      </c>
      <c r="D340">
        <v>10</v>
      </c>
      <c r="E340">
        <v>4</v>
      </c>
      <c r="F340">
        <v>6</v>
      </c>
      <c r="G340" s="19">
        <v>5477</v>
      </c>
      <c r="H340" s="19">
        <v>2858</v>
      </c>
      <c r="I340" s="19">
        <v>2619</v>
      </c>
      <c r="J340" s="19">
        <v>290</v>
      </c>
      <c r="K340" s="19">
        <v>113</v>
      </c>
      <c r="L340" s="19">
        <v>806</v>
      </c>
      <c r="M340" s="19">
        <v>121</v>
      </c>
      <c r="N340" s="19">
        <v>81</v>
      </c>
      <c r="O340" s="19">
        <f t="shared" si="10"/>
        <v>1411</v>
      </c>
      <c r="P340" s="19">
        <f t="shared" si="11"/>
        <v>4066</v>
      </c>
      <c r="Q340" t="s">
        <v>23</v>
      </c>
      <c r="R340" t="s">
        <v>66</v>
      </c>
      <c r="T340">
        <v>1</v>
      </c>
      <c r="U340" s="19">
        <v>1646</v>
      </c>
      <c r="V340">
        <v>0</v>
      </c>
      <c r="W340" s="19">
        <v>0</v>
      </c>
      <c r="X340">
        <v>0</v>
      </c>
      <c r="Y340" s="19">
        <v>0</v>
      </c>
      <c r="Z340">
        <v>0</v>
      </c>
      <c r="AA340" s="19">
        <v>0</v>
      </c>
      <c r="AB340">
        <v>1</v>
      </c>
      <c r="AC340" s="19">
        <v>898</v>
      </c>
      <c r="AD340">
        <v>1</v>
      </c>
      <c r="AE340" s="19">
        <v>1496</v>
      </c>
      <c r="AF340">
        <v>0</v>
      </c>
      <c r="AG340" s="19">
        <v>0</v>
      </c>
      <c r="AH340">
        <v>2</v>
      </c>
      <c r="AI340" s="19">
        <v>419</v>
      </c>
      <c r="AJ340">
        <v>2</v>
      </c>
      <c r="AK340" s="19">
        <v>210</v>
      </c>
      <c r="AL340">
        <v>1</v>
      </c>
      <c r="AM340" s="19">
        <v>210</v>
      </c>
      <c r="AN340">
        <v>1</v>
      </c>
      <c r="AO340" s="19">
        <v>224</v>
      </c>
      <c r="AP340">
        <v>1</v>
      </c>
      <c r="AQ340" s="19">
        <v>374</v>
      </c>
    </row>
    <row r="341" spans="1:43" x14ac:dyDescent="0.35">
      <c r="A341" s="18">
        <v>45629</v>
      </c>
      <c r="B341" t="s">
        <v>56</v>
      </c>
      <c r="C341" t="s">
        <v>53</v>
      </c>
      <c r="D341">
        <v>11</v>
      </c>
      <c r="E341">
        <v>5</v>
      </c>
      <c r="F341">
        <v>6</v>
      </c>
      <c r="G341" s="19">
        <v>5956</v>
      </c>
      <c r="H341" s="19">
        <v>3619</v>
      </c>
      <c r="I341" s="19">
        <v>2337</v>
      </c>
      <c r="J341" s="19">
        <v>290</v>
      </c>
      <c r="K341" s="19">
        <v>113</v>
      </c>
      <c r="L341" s="19">
        <v>806</v>
      </c>
      <c r="M341" s="19">
        <v>131</v>
      </c>
      <c r="N341" s="19">
        <v>89</v>
      </c>
      <c r="O341" s="19">
        <f t="shared" si="10"/>
        <v>1429</v>
      </c>
      <c r="P341" s="19">
        <f t="shared" si="11"/>
        <v>4527</v>
      </c>
      <c r="Q341" t="s">
        <v>23</v>
      </c>
      <c r="R341" t="s">
        <v>66</v>
      </c>
      <c r="T341">
        <v>1</v>
      </c>
      <c r="U341" s="19">
        <v>1469</v>
      </c>
      <c r="V341">
        <v>0</v>
      </c>
      <c r="W341" s="19">
        <v>0</v>
      </c>
      <c r="X341">
        <v>0</v>
      </c>
      <c r="Y341" s="19">
        <v>0</v>
      </c>
      <c r="Z341">
        <v>1</v>
      </c>
      <c r="AA341" s="19">
        <v>1068</v>
      </c>
      <c r="AB341">
        <v>1</v>
      </c>
      <c r="AC341" s="19">
        <v>801</v>
      </c>
      <c r="AD341">
        <v>1</v>
      </c>
      <c r="AE341" s="19">
        <v>1335</v>
      </c>
      <c r="AF341">
        <v>0</v>
      </c>
      <c r="AG341" s="19">
        <v>0</v>
      </c>
      <c r="AH341">
        <v>2</v>
      </c>
      <c r="AI341" s="19">
        <v>374</v>
      </c>
      <c r="AJ341">
        <v>2</v>
      </c>
      <c r="AK341" s="19">
        <v>187</v>
      </c>
      <c r="AL341">
        <v>1</v>
      </c>
      <c r="AM341" s="19">
        <v>187</v>
      </c>
      <c r="AN341">
        <v>1</v>
      </c>
      <c r="AO341" s="19">
        <v>200</v>
      </c>
      <c r="AP341">
        <v>1</v>
      </c>
      <c r="AQ341" s="19">
        <v>334</v>
      </c>
    </row>
    <row r="342" spans="1:43" x14ac:dyDescent="0.35">
      <c r="A342" s="18">
        <v>45630</v>
      </c>
      <c r="B342" t="s">
        <v>57</v>
      </c>
      <c r="C342" t="s">
        <v>53</v>
      </c>
      <c r="D342">
        <v>11</v>
      </c>
      <c r="E342">
        <v>5</v>
      </c>
      <c r="F342">
        <v>6</v>
      </c>
      <c r="G342" s="19">
        <v>6013</v>
      </c>
      <c r="H342" s="19">
        <v>3654</v>
      </c>
      <c r="I342" s="19">
        <v>2359</v>
      </c>
      <c r="J342" s="19">
        <v>290</v>
      </c>
      <c r="K342" s="19">
        <v>113</v>
      </c>
      <c r="L342" s="19">
        <v>806</v>
      </c>
      <c r="M342" s="19">
        <v>133</v>
      </c>
      <c r="N342" s="19">
        <v>89</v>
      </c>
      <c r="O342" s="19">
        <f t="shared" si="10"/>
        <v>1431</v>
      </c>
      <c r="P342" s="19">
        <f t="shared" si="11"/>
        <v>4582</v>
      </c>
      <c r="Q342" t="s">
        <v>23</v>
      </c>
      <c r="R342" t="s">
        <v>66</v>
      </c>
      <c r="T342">
        <v>1</v>
      </c>
      <c r="U342" s="19">
        <v>1483</v>
      </c>
      <c r="V342">
        <v>0</v>
      </c>
      <c r="W342" s="19">
        <v>0</v>
      </c>
      <c r="X342">
        <v>0</v>
      </c>
      <c r="Y342" s="19">
        <v>0</v>
      </c>
      <c r="Z342">
        <v>1</v>
      </c>
      <c r="AA342" s="19">
        <v>1079</v>
      </c>
      <c r="AB342">
        <v>1</v>
      </c>
      <c r="AC342" s="19">
        <v>809</v>
      </c>
      <c r="AD342">
        <v>1</v>
      </c>
      <c r="AE342" s="19">
        <v>1348</v>
      </c>
      <c r="AF342">
        <v>0</v>
      </c>
      <c r="AG342" s="19">
        <v>0</v>
      </c>
      <c r="AH342">
        <v>2</v>
      </c>
      <c r="AI342" s="19">
        <v>378</v>
      </c>
      <c r="AJ342">
        <v>2</v>
      </c>
      <c r="AK342" s="19">
        <v>189</v>
      </c>
      <c r="AL342">
        <v>1</v>
      </c>
      <c r="AM342" s="19">
        <v>189</v>
      </c>
      <c r="AN342">
        <v>1</v>
      </c>
      <c r="AO342" s="19">
        <v>202</v>
      </c>
      <c r="AP342">
        <v>1</v>
      </c>
      <c r="AQ342" s="19">
        <v>337</v>
      </c>
    </row>
    <row r="343" spans="1:43" x14ac:dyDescent="0.35">
      <c r="A343" s="18">
        <v>45631</v>
      </c>
      <c r="B343" t="s">
        <v>58</v>
      </c>
      <c r="C343" t="s">
        <v>53</v>
      </c>
      <c r="D343">
        <v>12</v>
      </c>
      <c r="E343">
        <v>7</v>
      </c>
      <c r="F343">
        <v>5</v>
      </c>
      <c r="G343" s="19">
        <v>6359</v>
      </c>
      <c r="H343" s="19">
        <v>5468</v>
      </c>
      <c r="I343" s="19">
        <v>891</v>
      </c>
      <c r="J343" s="19">
        <v>290</v>
      </c>
      <c r="K343" s="19">
        <v>113</v>
      </c>
      <c r="L343" s="19">
        <v>806</v>
      </c>
      <c r="M343" s="19">
        <v>140</v>
      </c>
      <c r="N343" s="19">
        <v>97</v>
      </c>
      <c r="O343" s="19">
        <f t="shared" si="10"/>
        <v>1446</v>
      </c>
      <c r="P343" s="19">
        <f t="shared" si="11"/>
        <v>4913</v>
      </c>
      <c r="Q343" t="s">
        <v>25</v>
      </c>
      <c r="R343" t="s">
        <v>66</v>
      </c>
      <c r="T343">
        <v>1</v>
      </c>
      <c r="U343" s="19">
        <v>1307</v>
      </c>
      <c r="V343">
        <v>0</v>
      </c>
      <c r="W343" s="19">
        <v>0</v>
      </c>
      <c r="X343">
        <v>1</v>
      </c>
      <c r="Y343" s="19">
        <v>2080</v>
      </c>
      <c r="Z343">
        <v>1</v>
      </c>
      <c r="AA343" s="19">
        <v>951</v>
      </c>
      <c r="AB343">
        <v>1</v>
      </c>
      <c r="AC343" s="19">
        <v>713</v>
      </c>
      <c r="AD343">
        <v>0</v>
      </c>
      <c r="AE343" s="19">
        <v>0</v>
      </c>
      <c r="AF343">
        <v>0</v>
      </c>
      <c r="AG343" s="19">
        <v>0</v>
      </c>
      <c r="AH343">
        <v>2</v>
      </c>
      <c r="AI343" s="19">
        <v>333</v>
      </c>
      <c r="AJ343">
        <v>2</v>
      </c>
      <c r="AK343" s="19">
        <v>166</v>
      </c>
      <c r="AL343">
        <v>2</v>
      </c>
      <c r="AM343" s="19">
        <v>333</v>
      </c>
      <c r="AN343">
        <v>1</v>
      </c>
      <c r="AO343" s="19">
        <v>178</v>
      </c>
      <c r="AP343">
        <v>1</v>
      </c>
      <c r="AQ343" s="19">
        <v>297</v>
      </c>
    </row>
    <row r="344" spans="1:43" x14ac:dyDescent="0.35">
      <c r="A344" s="18">
        <v>45632</v>
      </c>
      <c r="B344" t="s">
        <v>59</v>
      </c>
      <c r="C344" t="s">
        <v>53</v>
      </c>
      <c r="D344">
        <v>11</v>
      </c>
      <c r="E344">
        <v>5</v>
      </c>
      <c r="F344">
        <v>6</v>
      </c>
      <c r="G344" s="19">
        <v>5868</v>
      </c>
      <c r="H344" s="19">
        <v>4196</v>
      </c>
      <c r="I344" s="19">
        <v>1672</v>
      </c>
      <c r="J344" s="19">
        <v>290</v>
      </c>
      <c r="K344" s="19">
        <v>113</v>
      </c>
      <c r="L344" s="19">
        <v>806</v>
      </c>
      <c r="M344" s="19">
        <v>129</v>
      </c>
      <c r="N344" s="19">
        <v>89</v>
      </c>
      <c r="O344" s="19">
        <f t="shared" si="10"/>
        <v>1427</v>
      </c>
      <c r="P344" s="19">
        <f t="shared" si="11"/>
        <v>4441</v>
      </c>
      <c r="Q344" t="s">
        <v>25</v>
      </c>
      <c r="R344" t="s">
        <v>66</v>
      </c>
      <c r="T344">
        <v>1</v>
      </c>
      <c r="U344" s="19">
        <v>1051</v>
      </c>
      <c r="V344">
        <v>0</v>
      </c>
      <c r="W344" s="19">
        <v>0</v>
      </c>
      <c r="X344">
        <v>1</v>
      </c>
      <c r="Y344" s="19">
        <v>1672</v>
      </c>
      <c r="Z344">
        <v>1</v>
      </c>
      <c r="AA344" s="19">
        <v>765</v>
      </c>
      <c r="AB344">
        <v>1</v>
      </c>
      <c r="AC344" s="19">
        <v>573</v>
      </c>
      <c r="AD344">
        <v>1</v>
      </c>
      <c r="AE344" s="19">
        <v>956</v>
      </c>
      <c r="AF344">
        <v>0</v>
      </c>
      <c r="AG344" s="19">
        <v>0</v>
      </c>
      <c r="AH344">
        <v>2</v>
      </c>
      <c r="AI344" s="19">
        <v>268</v>
      </c>
      <c r="AJ344">
        <v>1</v>
      </c>
      <c r="AK344" s="19">
        <v>67</v>
      </c>
      <c r="AL344">
        <v>1</v>
      </c>
      <c r="AM344" s="19">
        <v>134</v>
      </c>
      <c r="AN344">
        <v>1</v>
      </c>
      <c r="AO344" s="19">
        <v>143</v>
      </c>
      <c r="AP344">
        <v>1</v>
      </c>
      <c r="AQ344" s="19">
        <v>239</v>
      </c>
    </row>
    <row r="345" spans="1:43" x14ac:dyDescent="0.35">
      <c r="A345" s="18">
        <v>45633</v>
      </c>
      <c r="B345" t="s">
        <v>60</v>
      </c>
      <c r="C345" t="s">
        <v>61</v>
      </c>
      <c r="D345">
        <v>15</v>
      </c>
      <c r="E345">
        <v>9</v>
      </c>
      <c r="F345">
        <v>6</v>
      </c>
      <c r="G345" s="19">
        <v>7765</v>
      </c>
      <c r="H345" s="19">
        <v>6147</v>
      </c>
      <c r="I345" s="19">
        <v>1618</v>
      </c>
      <c r="J345" s="19">
        <v>290</v>
      </c>
      <c r="K345" s="19">
        <v>113</v>
      </c>
      <c r="L345" s="19">
        <v>806</v>
      </c>
      <c r="M345" s="19">
        <v>171</v>
      </c>
      <c r="N345" s="19">
        <v>121</v>
      </c>
      <c r="O345" s="19">
        <f t="shared" si="10"/>
        <v>1501</v>
      </c>
      <c r="P345" s="19">
        <f t="shared" si="11"/>
        <v>6264</v>
      </c>
      <c r="Q345" t="s">
        <v>24</v>
      </c>
      <c r="R345" t="s">
        <v>66</v>
      </c>
      <c r="T345">
        <v>1</v>
      </c>
      <c r="U345" s="19">
        <v>1017</v>
      </c>
      <c r="V345">
        <v>1</v>
      </c>
      <c r="W345" s="19">
        <v>1756</v>
      </c>
      <c r="X345">
        <v>1</v>
      </c>
      <c r="Y345" s="19">
        <v>1618</v>
      </c>
      <c r="Z345">
        <v>1</v>
      </c>
      <c r="AA345" s="19">
        <v>740</v>
      </c>
      <c r="AB345">
        <v>1</v>
      </c>
      <c r="AC345" s="19">
        <v>555</v>
      </c>
      <c r="AD345">
        <v>1</v>
      </c>
      <c r="AE345" s="19">
        <v>924</v>
      </c>
      <c r="AF345">
        <v>0</v>
      </c>
      <c r="AG345" s="19">
        <v>0</v>
      </c>
      <c r="AH345">
        <v>2</v>
      </c>
      <c r="AI345" s="19">
        <v>259</v>
      </c>
      <c r="AJ345">
        <v>2</v>
      </c>
      <c r="AK345" s="19">
        <v>129</v>
      </c>
      <c r="AL345">
        <v>2</v>
      </c>
      <c r="AM345" s="19">
        <v>259</v>
      </c>
      <c r="AN345">
        <v>2</v>
      </c>
      <c r="AO345" s="19">
        <v>277</v>
      </c>
      <c r="AP345">
        <v>1</v>
      </c>
      <c r="AQ345" s="19">
        <v>231</v>
      </c>
    </row>
    <row r="346" spans="1:43" x14ac:dyDescent="0.35">
      <c r="A346" s="18">
        <v>45634</v>
      </c>
      <c r="B346" t="s">
        <v>62</v>
      </c>
      <c r="C346" t="s">
        <v>61</v>
      </c>
      <c r="D346">
        <v>13</v>
      </c>
      <c r="E346">
        <v>7</v>
      </c>
      <c r="F346">
        <v>6</v>
      </c>
      <c r="G346" s="19">
        <v>6665</v>
      </c>
      <c r="H346" s="19">
        <v>4831</v>
      </c>
      <c r="I346" s="19">
        <v>1834</v>
      </c>
      <c r="J346" s="19">
        <v>290</v>
      </c>
      <c r="K346" s="19">
        <v>113</v>
      </c>
      <c r="L346" s="19">
        <v>806</v>
      </c>
      <c r="M346" s="19">
        <v>147</v>
      </c>
      <c r="N346" s="19">
        <v>105</v>
      </c>
      <c r="O346" s="19">
        <f t="shared" si="10"/>
        <v>1461</v>
      </c>
      <c r="P346" s="19">
        <f t="shared" si="11"/>
        <v>5204</v>
      </c>
      <c r="Q346" t="s">
        <v>25</v>
      </c>
      <c r="R346" t="s">
        <v>66</v>
      </c>
      <c r="T346">
        <v>1</v>
      </c>
      <c r="U346" s="19">
        <v>1153</v>
      </c>
      <c r="V346">
        <v>0</v>
      </c>
      <c r="W346" s="19">
        <v>0</v>
      </c>
      <c r="X346">
        <v>1</v>
      </c>
      <c r="Y346" s="19">
        <v>1834</v>
      </c>
      <c r="Z346">
        <v>1</v>
      </c>
      <c r="AA346" s="19">
        <v>838</v>
      </c>
      <c r="AB346">
        <v>1</v>
      </c>
      <c r="AC346" s="19">
        <v>629</v>
      </c>
      <c r="AD346">
        <v>1</v>
      </c>
      <c r="AE346" s="19">
        <v>1048</v>
      </c>
      <c r="AF346">
        <v>0</v>
      </c>
      <c r="AG346" s="19">
        <v>0</v>
      </c>
      <c r="AH346">
        <v>2</v>
      </c>
      <c r="AI346" s="19">
        <v>293</v>
      </c>
      <c r="AJ346">
        <v>2</v>
      </c>
      <c r="AK346" s="19">
        <v>147</v>
      </c>
      <c r="AL346">
        <v>1</v>
      </c>
      <c r="AM346" s="19">
        <v>147</v>
      </c>
      <c r="AN346">
        <v>2</v>
      </c>
      <c r="AO346" s="19">
        <v>314</v>
      </c>
      <c r="AP346">
        <v>1</v>
      </c>
      <c r="AQ346" s="19">
        <v>262</v>
      </c>
    </row>
    <row r="347" spans="1:43" x14ac:dyDescent="0.35">
      <c r="A347" s="18">
        <v>45635</v>
      </c>
      <c r="B347" t="s">
        <v>52</v>
      </c>
      <c r="C347" t="s">
        <v>53</v>
      </c>
      <c r="D347">
        <v>9</v>
      </c>
      <c r="E347">
        <v>4</v>
      </c>
      <c r="F347">
        <v>5</v>
      </c>
      <c r="G347" s="19">
        <v>5013</v>
      </c>
      <c r="H347" s="19">
        <v>3904</v>
      </c>
      <c r="I347" s="19">
        <v>1109</v>
      </c>
      <c r="J347" s="19">
        <v>290</v>
      </c>
      <c r="K347" s="19">
        <v>113</v>
      </c>
      <c r="L347" s="19">
        <v>806</v>
      </c>
      <c r="M347" s="19">
        <v>111</v>
      </c>
      <c r="N347" s="19">
        <v>73</v>
      </c>
      <c r="O347" s="19">
        <f t="shared" si="10"/>
        <v>1393</v>
      </c>
      <c r="P347" s="19">
        <f t="shared" si="11"/>
        <v>3620</v>
      </c>
      <c r="Q347" t="s">
        <v>23</v>
      </c>
      <c r="R347" t="s">
        <v>66</v>
      </c>
      <c r="T347">
        <v>1</v>
      </c>
      <c r="U347" s="19">
        <v>1627</v>
      </c>
      <c r="V347">
        <v>0</v>
      </c>
      <c r="W347" s="19">
        <v>0</v>
      </c>
      <c r="X347">
        <v>0</v>
      </c>
      <c r="Y347" s="19">
        <v>0</v>
      </c>
      <c r="Z347">
        <v>1</v>
      </c>
      <c r="AA347" s="19">
        <v>1183</v>
      </c>
      <c r="AB347">
        <v>1</v>
      </c>
      <c r="AC347" s="19">
        <v>887</v>
      </c>
      <c r="AD347">
        <v>0</v>
      </c>
      <c r="AE347" s="19">
        <v>0</v>
      </c>
      <c r="AF347">
        <v>0</v>
      </c>
      <c r="AG347" s="19">
        <v>0</v>
      </c>
      <c r="AH347">
        <v>2</v>
      </c>
      <c r="AI347" s="19">
        <v>414</v>
      </c>
      <c r="AJ347">
        <v>1</v>
      </c>
      <c r="AK347" s="19">
        <v>104</v>
      </c>
      <c r="AL347">
        <v>1</v>
      </c>
      <c r="AM347" s="19">
        <v>207</v>
      </c>
      <c r="AN347">
        <v>1</v>
      </c>
      <c r="AO347" s="19">
        <v>222</v>
      </c>
      <c r="AP347">
        <v>1</v>
      </c>
      <c r="AQ347" s="19">
        <v>370</v>
      </c>
    </row>
    <row r="348" spans="1:43" x14ac:dyDescent="0.35">
      <c r="A348" s="18">
        <v>45636</v>
      </c>
      <c r="B348" t="s">
        <v>56</v>
      </c>
      <c r="C348" t="s">
        <v>53</v>
      </c>
      <c r="D348">
        <v>11</v>
      </c>
      <c r="E348">
        <v>5</v>
      </c>
      <c r="F348">
        <v>6</v>
      </c>
      <c r="G348" s="19">
        <v>5642</v>
      </c>
      <c r="H348" s="19">
        <v>4034</v>
      </c>
      <c r="I348" s="19">
        <v>1608</v>
      </c>
      <c r="J348" s="19">
        <v>290</v>
      </c>
      <c r="K348" s="19">
        <v>113</v>
      </c>
      <c r="L348" s="19">
        <v>806</v>
      </c>
      <c r="M348" s="19">
        <v>124</v>
      </c>
      <c r="N348" s="19">
        <v>89</v>
      </c>
      <c r="O348" s="19">
        <f t="shared" si="10"/>
        <v>1422</v>
      </c>
      <c r="P348" s="19">
        <f t="shared" si="11"/>
        <v>4220</v>
      </c>
      <c r="Q348" t="s">
        <v>25</v>
      </c>
      <c r="R348" t="s">
        <v>66</v>
      </c>
      <c r="T348">
        <v>1</v>
      </c>
      <c r="U348" s="19">
        <v>1011</v>
      </c>
      <c r="V348">
        <v>0</v>
      </c>
      <c r="W348" s="19">
        <v>0</v>
      </c>
      <c r="X348">
        <v>1</v>
      </c>
      <c r="Y348" s="19">
        <v>1608</v>
      </c>
      <c r="Z348">
        <v>1</v>
      </c>
      <c r="AA348" s="19">
        <v>735</v>
      </c>
      <c r="AB348">
        <v>1</v>
      </c>
      <c r="AC348" s="19">
        <v>551</v>
      </c>
      <c r="AD348">
        <v>1</v>
      </c>
      <c r="AE348" s="19">
        <v>919</v>
      </c>
      <c r="AF348">
        <v>0</v>
      </c>
      <c r="AG348" s="19">
        <v>0</v>
      </c>
      <c r="AH348">
        <v>2</v>
      </c>
      <c r="AI348" s="19">
        <v>257</v>
      </c>
      <c r="AJ348">
        <v>1</v>
      </c>
      <c r="AK348" s="19">
        <v>64</v>
      </c>
      <c r="AL348">
        <v>1</v>
      </c>
      <c r="AM348" s="19">
        <v>129</v>
      </c>
      <c r="AN348">
        <v>1</v>
      </c>
      <c r="AO348" s="19">
        <v>138</v>
      </c>
      <c r="AP348">
        <v>1</v>
      </c>
      <c r="AQ348" s="19">
        <v>230</v>
      </c>
    </row>
    <row r="349" spans="1:43" x14ac:dyDescent="0.35">
      <c r="A349" s="18">
        <v>45637</v>
      </c>
      <c r="B349" t="s">
        <v>57</v>
      </c>
      <c r="C349" t="s">
        <v>53</v>
      </c>
      <c r="D349">
        <v>11</v>
      </c>
      <c r="E349">
        <v>5</v>
      </c>
      <c r="F349">
        <v>6</v>
      </c>
      <c r="G349" s="19">
        <v>5723</v>
      </c>
      <c r="H349" s="19">
        <v>3477</v>
      </c>
      <c r="I349" s="19">
        <v>2246</v>
      </c>
      <c r="J349" s="19">
        <v>290</v>
      </c>
      <c r="K349" s="19">
        <v>113</v>
      </c>
      <c r="L349" s="19">
        <v>806</v>
      </c>
      <c r="M349" s="19">
        <v>126</v>
      </c>
      <c r="N349" s="19">
        <v>89</v>
      </c>
      <c r="O349" s="19">
        <f t="shared" si="10"/>
        <v>1424</v>
      </c>
      <c r="P349" s="19">
        <f t="shared" si="11"/>
        <v>4299</v>
      </c>
      <c r="Q349" t="s">
        <v>23</v>
      </c>
      <c r="R349" t="s">
        <v>66</v>
      </c>
      <c r="T349">
        <v>1</v>
      </c>
      <c r="U349" s="19">
        <v>1412</v>
      </c>
      <c r="V349">
        <v>0</v>
      </c>
      <c r="W349" s="19">
        <v>0</v>
      </c>
      <c r="X349">
        <v>0</v>
      </c>
      <c r="Y349" s="19">
        <v>0</v>
      </c>
      <c r="Z349">
        <v>1</v>
      </c>
      <c r="AA349" s="19">
        <v>1027</v>
      </c>
      <c r="AB349">
        <v>1</v>
      </c>
      <c r="AC349" s="19">
        <v>770</v>
      </c>
      <c r="AD349">
        <v>1</v>
      </c>
      <c r="AE349" s="19">
        <v>1283</v>
      </c>
      <c r="AF349">
        <v>0</v>
      </c>
      <c r="AG349" s="19">
        <v>0</v>
      </c>
      <c r="AH349">
        <v>2</v>
      </c>
      <c r="AI349" s="19">
        <v>359</v>
      </c>
      <c r="AJ349">
        <v>2</v>
      </c>
      <c r="AK349" s="19">
        <v>180</v>
      </c>
      <c r="AL349">
        <v>1</v>
      </c>
      <c r="AM349" s="19">
        <v>180</v>
      </c>
      <c r="AN349">
        <v>1</v>
      </c>
      <c r="AO349" s="19">
        <v>192</v>
      </c>
      <c r="AP349">
        <v>1</v>
      </c>
      <c r="AQ349" s="19">
        <v>321</v>
      </c>
    </row>
    <row r="350" spans="1:43" x14ac:dyDescent="0.35">
      <c r="A350" s="18">
        <v>45638</v>
      </c>
      <c r="B350" t="s">
        <v>58</v>
      </c>
      <c r="C350" t="s">
        <v>53</v>
      </c>
      <c r="D350">
        <v>12</v>
      </c>
      <c r="E350">
        <v>6</v>
      </c>
      <c r="F350">
        <v>6</v>
      </c>
      <c r="G350" s="19">
        <v>6145</v>
      </c>
      <c r="H350" s="19">
        <v>4454</v>
      </c>
      <c r="I350" s="19">
        <v>1691</v>
      </c>
      <c r="J350" s="19">
        <v>290</v>
      </c>
      <c r="K350" s="19">
        <v>113</v>
      </c>
      <c r="L350" s="19">
        <v>806</v>
      </c>
      <c r="M350" s="19">
        <v>136</v>
      </c>
      <c r="N350" s="19">
        <v>97</v>
      </c>
      <c r="O350" s="19">
        <f t="shared" si="10"/>
        <v>1442</v>
      </c>
      <c r="P350" s="19">
        <f t="shared" si="11"/>
        <v>4703</v>
      </c>
      <c r="Q350" t="s">
        <v>24</v>
      </c>
      <c r="R350" t="s">
        <v>66</v>
      </c>
      <c r="T350">
        <v>1</v>
      </c>
      <c r="U350" s="19">
        <v>1063</v>
      </c>
      <c r="V350">
        <v>1</v>
      </c>
      <c r="W350" s="19">
        <v>1836</v>
      </c>
      <c r="X350">
        <v>0</v>
      </c>
      <c r="Y350" s="19">
        <v>0</v>
      </c>
      <c r="Z350">
        <v>1</v>
      </c>
      <c r="AA350" s="19">
        <v>773</v>
      </c>
      <c r="AB350">
        <v>1</v>
      </c>
      <c r="AC350" s="19">
        <v>580</v>
      </c>
      <c r="AD350">
        <v>1</v>
      </c>
      <c r="AE350" s="19">
        <v>966</v>
      </c>
      <c r="AF350">
        <v>0</v>
      </c>
      <c r="AG350" s="19">
        <v>0</v>
      </c>
      <c r="AH350">
        <v>2</v>
      </c>
      <c r="AI350" s="19">
        <v>271</v>
      </c>
      <c r="AJ350">
        <v>2</v>
      </c>
      <c r="AK350" s="19">
        <v>135</v>
      </c>
      <c r="AL350">
        <v>1</v>
      </c>
      <c r="AM350" s="19">
        <v>135</v>
      </c>
      <c r="AN350">
        <v>1</v>
      </c>
      <c r="AO350" s="19">
        <v>145</v>
      </c>
      <c r="AP350">
        <v>1</v>
      </c>
      <c r="AQ350" s="19">
        <v>242</v>
      </c>
    </row>
    <row r="351" spans="1:43" x14ac:dyDescent="0.35">
      <c r="A351" s="18">
        <v>45639</v>
      </c>
      <c r="B351" t="s">
        <v>59</v>
      </c>
      <c r="C351" t="s">
        <v>53</v>
      </c>
      <c r="D351">
        <v>12</v>
      </c>
      <c r="E351">
        <v>6</v>
      </c>
      <c r="F351">
        <v>6</v>
      </c>
      <c r="G351" s="19">
        <v>6552</v>
      </c>
      <c r="H351" s="19">
        <v>4706</v>
      </c>
      <c r="I351" s="19">
        <v>1846</v>
      </c>
      <c r="J351" s="19">
        <v>290</v>
      </c>
      <c r="K351" s="19">
        <v>113</v>
      </c>
      <c r="L351" s="19">
        <v>806</v>
      </c>
      <c r="M351" s="19">
        <v>145</v>
      </c>
      <c r="N351" s="19">
        <v>97</v>
      </c>
      <c r="O351" s="19">
        <f t="shared" si="10"/>
        <v>1451</v>
      </c>
      <c r="P351" s="19">
        <f t="shared" si="11"/>
        <v>5101</v>
      </c>
      <c r="Q351" t="s">
        <v>25</v>
      </c>
      <c r="R351" t="s">
        <v>66</v>
      </c>
      <c r="T351">
        <v>1</v>
      </c>
      <c r="U351" s="19">
        <v>1161</v>
      </c>
      <c r="V351">
        <v>0</v>
      </c>
      <c r="W351" s="19">
        <v>0</v>
      </c>
      <c r="X351">
        <v>1</v>
      </c>
      <c r="Y351" s="19">
        <v>1846</v>
      </c>
      <c r="Z351">
        <v>1</v>
      </c>
      <c r="AA351" s="19">
        <v>844</v>
      </c>
      <c r="AB351">
        <v>1</v>
      </c>
      <c r="AC351" s="19">
        <v>633</v>
      </c>
      <c r="AD351">
        <v>1</v>
      </c>
      <c r="AE351" s="19">
        <v>1055</v>
      </c>
      <c r="AF351">
        <v>0</v>
      </c>
      <c r="AG351" s="19">
        <v>0</v>
      </c>
      <c r="AH351">
        <v>2</v>
      </c>
      <c r="AI351" s="19">
        <v>295</v>
      </c>
      <c r="AJ351">
        <v>2</v>
      </c>
      <c r="AK351" s="19">
        <v>148</v>
      </c>
      <c r="AL351">
        <v>1</v>
      </c>
      <c r="AM351" s="19">
        <v>148</v>
      </c>
      <c r="AN351">
        <v>1</v>
      </c>
      <c r="AO351" s="19">
        <v>158</v>
      </c>
      <c r="AP351">
        <v>1</v>
      </c>
      <c r="AQ351" s="19">
        <v>264</v>
      </c>
    </row>
    <row r="352" spans="1:43" x14ac:dyDescent="0.35">
      <c r="A352" s="18">
        <v>45640</v>
      </c>
      <c r="B352" t="s">
        <v>60</v>
      </c>
      <c r="C352" t="s">
        <v>61</v>
      </c>
      <c r="D352">
        <v>15</v>
      </c>
      <c r="E352">
        <v>8</v>
      </c>
      <c r="F352">
        <v>7</v>
      </c>
      <c r="G352" s="19">
        <v>8127</v>
      </c>
      <c r="H352" s="19">
        <v>6296</v>
      </c>
      <c r="I352" s="19">
        <v>1831</v>
      </c>
      <c r="J352" s="19">
        <v>290</v>
      </c>
      <c r="K352" s="19">
        <v>113</v>
      </c>
      <c r="L352" s="19">
        <v>806</v>
      </c>
      <c r="M352" s="19">
        <v>179</v>
      </c>
      <c r="N352" s="19">
        <v>121</v>
      </c>
      <c r="O352" s="19">
        <f t="shared" si="10"/>
        <v>1509</v>
      </c>
      <c r="P352" s="19">
        <f t="shared" si="11"/>
        <v>6618</v>
      </c>
      <c r="Q352" t="s">
        <v>24</v>
      </c>
      <c r="R352" t="s">
        <v>66</v>
      </c>
      <c r="T352">
        <v>1</v>
      </c>
      <c r="U352" s="19">
        <v>1066</v>
      </c>
      <c r="V352">
        <v>1</v>
      </c>
      <c r="W352" s="19">
        <v>1840</v>
      </c>
      <c r="X352">
        <v>1</v>
      </c>
      <c r="Y352" s="19">
        <v>1695</v>
      </c>
      <c r="Z352">
        <v>1</v>
      </c>
      <c r="AA352" s="19">
        <v>775</v>
      </c>
      <c r="AB352">
        <v>1</v>
      </c>
      <c r="AC352" s="19">
        <v>581</v>
      </c>
      <c r="AD352">
        <v>1</v>
      </c>
      <c r="AE352" s="19">
        <v>969</v>
      </c>
      <c r="AF352">
        <v>0</v>
      </c>
      <c r="AG352" s="19">
        <v>0</v>
      </c>
      <c r="AH352">
        <v>3</v>
      </c>
      <c r="AI352" s="19">
        <v>407</v>
      </c>
      <c r="AJ352">
        <v>2</v>
      </c>
      <c r="AK352" s="19">
        <v>136</v>
      </c>
      <c r="AL352">
        <v>2</v>
      </c>
      <c r="AM352" s="19">
        <v>271</v>
      </c>
      <c r="AN352">
        <v>1</v>
      </c>
      <c r="AO352" s="19">
        <v>145</v>
      </c>
      <c r="AP352">
        <v>1</v>
      </c>
      <c r="AQ352" s="19">
        <v>242</v>
      </c>
    </row>
    <row r="353" spans="1:43" x14ac:dyDescent="0.35">
      <c r="A353" s="18">
        <v>45641</v>
      </c>
      <c r="B353" t="s">
        <v>62</v>
      </c>
      <c r="C353" t="s">
        <v>61</v>
      </c>
      <c r="D353">
        <v>23</v>
      </c>
      <c r="E353">
        <v>9</v>
      </c>
      <c r="F353">
        <v>14</v>
      </c>
      <c r="G353" s="19">
        <v>12406</v>
      </c>
      <c r="H353" s="19">
        <v>7632</v>
      </c>
      <c r="I353" s="19">
        <v>4774</v>
      </c>
      <c r="J353" s="19">
        <v>290</v>
      </c>
      <c r="K353" s="19">
        <v>113</v>
      </c>
      <c r="L353" s="19">
        <v>806</v>
      </c>
      <c r="M353" s="19">
        <v>274</v>
      </c>
      <c r="N353" s="19">
        <v>186</v>
      </c>
      <c r="O353" s="19">
        <f t="shared" si="10"/>
        <v>1669</v>
      </c>
      <c r="P353" s="19">
        <f t="shared" si="11"/>
        <v>10737</v>
      </c>
      <c r="Q353" t="s">
        <v>23</v>
      </c>
      <c r="R353" t="s">
        <v>66</v>
      </c>
      <c r="T353">
        <v>2</v>
      </c>
      <c r="U353" s="19">
        <v>2525</v>
      </c>
      <c r="V353">
        <v>1</v>
      </c>
      <c r="W353" s="19">
        <v>2181</v>
      </c>
      <c r="X353">
        <v>1</v>
      </c>
      <c r="Y353" s="19">
        <v>2008</v>
      </c>
      <c r="Z353">
        <v>1</v>
      </c>
      <c r="AA353" s="19">
        <v>918</v>
      </c>
      <c r="AB353">
        <v>2</v>
      </c>
      <c r="AC353" s="19">
        <v>1377</v>
      </c>
      <c r="AD353">
        <v>1</v>
      </c>
      <c r="AE353" s="19">
        <v>1148</v>
      </c>
      <c r="AF353">
        <v>0</v>
      </c>
      <c r="AG353" s="19">
        <v>0</v>
      </c>
      <c r="AH353">
        <v>4</v>
      </c>
      <c r="AI353" s="19">
        <v>643</v>
      </c>
      <c r="AJ353">
        <v>4</v>
      </c>
      <c r="AK353" s="19">
        <v>321</v>
      </c>
      <c r="AL353">
        <v>3</v>
      </c>
      <c r="AM353" s="19">
        <v>482</v>
      </c>
      <c r="AN353">
        <v>3</v>
      </c>
      <c r="AO353" s="19">
        <v>516</v>
      </c>
      <c r="AP353">
        <v>1</v>
      </c>
      <c r="AQ353" s="19">
        <v>287</v>
      </c>
    </row>
    <row r="354" spans="1:43" x14ac:dyDescent="0.35">
      <c r="A354" s="18">
        <v>45642</v>
      </c>
      <c r="B354" t="s">
        <v>52</v>
      </c>
      <c r="C354" t="s">
        <v>53</v>
      </c>
      <c r="D354">
        <v>17</v>
      </c>
      <c r="E354">
        <v>9</v>
      </c>
      <c r="F354">
        <v>8</v>
      </c>
      <c r="G354" s="19">
        <v>8847</v>
      </c>
      <c r="H354" s="19">
        <v>6833</v>
      </c>
      <c r="I354" s="19">
        <v>2014</v>
      </c>
      <c r="J354" s="19">
        <v>290</v>
      </c>
      <c r="K354" s="19">
        <v>113</v>
      </c>
      <c r="L354" s="19">
        <v>806</v>
      </c>
      <c r="M354" s="19">
        <v>195</v>
      </c>
      <c r="N354" s="19">
        <v>138</v>
      </c>
      <c r="O354" s="19">
        <f t="shared" si="10"/>
        <v>1542</v>
      </c>
      <c r="P354" s="19">
        <f t="shared" si="11"/>
        <v>7305</v>
      </c>
      <c r="Q354" t="s">
        <v>24</v>
      </c>
      <c r="R354" t="s">
        <v>66</v>
      </c>
      <c r="T354">
        <v>1</v>
      </c>
      <c r="U354" s="19">
        <v>1130</v>
      </c>
      <c r="V354">
        <v>1</v>
      </c>
      <c r="W354" s="19">
        <v>1952</v>
      </c>
      <c r="X354">
        <v>1</v>
      </c>
      <c r="Y354" s="19">
        <v>1798</v>
      </c>
      <c r="Z354">
        <v>1</v>
      </c>
      <c r="AA354" s="19">
        <v>822</v>
      </c>
      <c r="AB354">
        <v>1</v>
      </c>
      <c r="AC354" s="19">
        <v>617</v>
      </c>
      <c r="AD354">
        <v>1</v>
      </c>
      <c r="AE354" s="19">
        <v>1028</v>
      </c>
      <c r="AF354">
        <v>0</v>
      </c>
      <c r="AG354" s="19">
        <v>0</v>
      </c>
      <c r="AH354">
        <v>3</v>
      </c>
      <c r="AI354" s="19">
        <v>432</v>
      </c>
      <c r="AJ354">
        <v>3</v>
      </c>
      <c r="AK354" s="19">
        <v>216</v>
      </c>
      <c r="AL354">
        <v>2</v>
      </c>
      <c r="AM354" s="19">
        <v>288</v>
      </c>
      <c r="AN354">
        <v>2</v>
      </c>
      <c r="AO354" s="19">
        <v>308</v>
      </c>
      <c r="AP354">
        <v>1</v>
      </c>
      <c r="AQ354" s="19">
        <v>257</v>
      </c>
    </row>
    <row r="355" spans="1:43" x14ac:dyDescent="0.35">
      <c r="A355" s="18">
        <v>45643</v>
      </c>
      <c r="B355" t="s">
        <v>56</v>
      </c>
      <c r="C355" t="s">
        <v>53</v>
      </c>
      <c r="D355">
        <v>18</v>
      </c>
      <c r="E355">
        <v>9</v>
      </c>
      <c r="F355">
        <v>9</v>
      </c>
      <c r="G355" s="19">
        <v>9730</v>
      </c>
      <c r="H355" s="19">
        <v>6616</v>
      </c>
      <c r="I355" s="19">
        <v>3114</v>
      </c>
      <c r="J355" s="19">
        <v>290</v>
      </c>
      <c r="K355" s="19">
        <v>113</v>
      </c>
      <c r="L355" s="19">
        <v>806</v>
      </c>
      <c r="M355" s="19">
        <v>215</v>
      </c>
      <c r="N355" s="19">
        <v>146</v>
      </c>
      <c r="O355" s="19">
        <f t="shared" si="10"/>
        <v>1570</v>
      </c>
      <c r="P355" s="19">
        <f t="shared" si="11"/>
        <v>8160</v>
      </c>
      <c r="Q355" t="s">
        <v>23</v>
      </c>
      <c r="R355" t="s">
        <v>66</v>
      </c>
      <c r="T355">
        <v>2</v>
      </c>
      <c r="U355" s="19">
        <v>2189</v>
      </c>
      <c r="V355">
        <v>1</v>
      </c>
      <c r="W355" s="19">
        <v>1890</v>
      </c>
      <c r="X355">
        <v>1</v>
      </c>
      <c r="Y355" s="19">
        <v>1741</v>
      </c>
      <c r="Z355">
        <v>1</v>
      </c>
      <c r="AA355" s="19">
        <v>796</v>
      </c>
      <c r="AB355">
        <v>1</v>
      </c>
      <c r="AC355" s="19">
        <v>597</v>
      </c>
      <c r="AD355">
        <v>1</v>
      </c>
      <c r="AE355" s="19">
        <v>995</v>
      </c>
      <c r="AF355">
        <v>0</v>
      </c>
      <c r="AG355" s="19">
        <v>0</v>
      </c>
      <c r="AH355">
        <v>3</v>
      </c>
      <c r="AI355" s="19">
        <v>418</v>
      </c>
      <c r="AJ355">
        <v>2</v>
      </c>
      <c r="AK355" s="19">
        <v>139</v>
      </c>
      <c r="AL355">
        <v>3</v>
      </c>
      <c r="AM355" s="19">
        <v>418</v>
      </c>
      <c r="AN355">
        <v>2</v>
      </c>
      <c r="AO355" s="19">
        <v>298</v>
      </c>
      <c r="AP355">
        <v>1</v>
      </c>
      <c r="AQ355" s="19">
        <v>249</v>
      </c>
    </row>
    <row r="356" spans="1:43" x14ac:dyDescent="0.35">
      <c r="A356" s="18">
        <v>45644</v>
      </c>
      <c r="B356" t="s">
        <v>57</v>
      </c>
      <c r="C356" t="s">
        <v>53</v>
      </c>
      <c r="D356">
        <v>19</v>
      </c>
      <c r="E356">
        <v>10</v>
      </c>
      <c r="F356">
        <v>9</v>
      </c>
      <c r="G356" s="19">
        <v>9875</v>
      </c>
      <c r="H356" s="19">
        <v>7571</v>
      </c>
      <c r="I356" s="19">
        <v>2304</v>
      </c>
      <c r="J356" s="19">
        <v>290</v>
      </c>
      <c r="K356" s="19">
        <v>113</v>
      </c>
      <c r="L356" s="19">
        <v>806</v>
      </c>
      <c r="M356" s="19">
        <v>218</v>
      </c>
      <c r="N356" s="19">
        <v>154</v>
      </c>
      <c r="O356" s="19">
        <f t="shared" si="10"/>
        <v>1581</v>
      </c>
      <c r="P356" s="19">
        <f t="shared" si="11"/>
        <v>8294</v>
      </c>
      <c r="Q356" t="s">
        <v>24</v>
      </c>
      <c r="R356" t="s">
        <v>66</v>
      </c>
      <c r="T356">
        <v>1</v>
      </c>
      <c r="U356" s="19">
        <v>1207</v>
      </c>
      <c r="V356">
        <v>1</v>
      </c>
      <c r="W356" s="19">
        <v>2085</v>
      </c>
      <c r="X356">
        <v>1</v>
      </c>
      <c r="Y356" s="19">
        <v>1920</v>
      </c>
      <c r="Z356">
        <v>1</v>
      </c>
      <c r="AA356" s="19">
        <v>878</v>
      </c>
      <c r="AB356">
        <v>1</v>
      </c>
      <c r="AC356" s="19">
        <v>658</v>
      </c>
      <c r="AD356">
        <v>1</v>
      </c>
      <c r="AE356" s="19">
        <v>1097</v>
      </c>
      <c r="AF356">
        <v>0</v>
      </c>
      <c r="AG356" s="19">
        <v>0</v>
      </c>
      <c r="AH356">
        <v>3</v>
      </c>
      <c r="AI356" s="19">
        <v>461</v>
      </c>
      <c r="AJ356">
        <v>3</v>
      </c>
      <c r="AK356" s="19">
        <v>230</v>
      </c>
      <c r="AL356">
        <v>3</v>
      </c>
      <c r="AM356" s="19">
        <v>461</v>
      </c>
      <c r="AN356">
        <v>2</v>
      </c>
      <c r="AO356" s="19">
        <v>329</v>
      </c>
      <c r="AP356">
        <v>2</v>
      </c>
      <c r="AQ356" s="19">
        <v>549</v>
      </c>
    </row>
    <row r="357" spans="1:43" x14ac:dyDescent="0.35">
      <c r="A357" s="18">
        <v>45645</v>
      </c>
      <c r="B357" t="s">
        <v>58</v>
      </c>
      <c r="C357" t="s">
        <v>53</v>
      </c>
      <c r="D357">
        <v>18</v>
      </c>
      <c r="E357">
        <v>9</v>
      </c>
      <c r="F357">
        <v>9</v>
      </c>
      <c r="G357" s="19">
        <v>9315</v>
      </c>
      <c r="H357" s="19">
        <v>7079</v>
      </c>
      <c r="I357" s="19">
        <v>2236</v>
      </c>
      <c r="J357" s="19">
        <v>290</v>
      </c>
      <c r="K357" s="19">
        <v>113</v>
      </c>
      <c r="L357" s="19">
        <v>806</v>
      </c>
      <c r="M357" s="19">
        <v>205</v>
      </c>
      <c r="N357" s="19">
        <v>146</v>
      </c>
      <c r="O357" s="19">
        <f t="shared" si="10"/>
        <v>1560</v>
      </c>
      <c r="P357" s="19">
        <f t="shared" si="11"/>
        <v>7755</v>
      </c>
      <c r="Q357" t="s">
        <v>24</v>
      </c>
      <c r="R357" t="s">
        <v>66</v>
      </c>
      <c r="T357">
        <v>1</v>
      </c>
      <c r="U357" s="19">
        <v>1171</v>
      </c>
      <c r="V357">
        <v>1</v>
      </c>
      <c r="W357" s="19">
        <v>2023</v>
      </c>
      <c r="X357">
        <v>1</v>
      </c>
      <c r="Y357" s="19">
        <v>1863</v>
      </c>
      <c r="Z357">
        <v>1</v>
      </c>
      <c r="AA357" s="19">
        <v>852</v>
      </c>
      <c r="AB357">
        <v>1</v>
      </c>
      <c r="AC357" s="19">
        <v>639</v>
      </c>
      <c r="AD357">
        <v>1</v>
      </c>
      <c r="AE357" s="19">
        <v>1065</v>
      </c>
      <c r="AF357">
        <v>0</v>
      </c>
      <c r="AG357" s="19">
        <v>0</v>
      </c>
      <c r="AH357">
        <v>3</v>
      </c>
      <c r="AI357" s="19">
        <v>447</v>
      </c>
      <c r="AJ357">
        <v>3</v>
      </c>
      <c r="AK357" s="19">
        <v>224</v>
      </c>
      <c r="AL357">
        <v>3</v>
      </c>
      <c r="AM357" s="19">
        <v>447</v>
      </c>
      <c r="AN357">
        <v>2</v>
      </c>
      <c r="AO357" s="19">
        <v>319</v>
      </c>
      <c r="AP357">
        <v>1</v>
      </c>
      <c r="AQ357" s="19">
        <v>266</v>
      </c>
    </row>
    <row r="358" spans="1:43" x14ac:dyDescent="0.35">
      <c r="A358" s="18">
        <v>45646</v>
      </c>
      <c r="B358" t="s">
        <v>59</v>
      </c>
      <c r="C358" t="s">
        <v>53</v>
      </c>
      <c r="D358">
        <v>20</v>
      </c>
      <c r="E358">
        <v>9</v>
      </c>
      <c r="F358">
        <v>11</v>
      </c>
      <c r="G358" s="19">
        <v>10676</v>
      </c>
      <c r="H358" s="19">
        <v>6794</v>
      </c>
      <c r="I358" s="19">
        <v>3882</v>
      </c>
      <c r="J358" s="19">
        <v>290</v>
      </c>
      <c r="K358" s="19">
        <v>113</v>
      </c>
      <c r="L358" s="19">
        <v>806</v>
      </c>
      <c r="M358" s="19">
        <v>235</v>
      </c>
      <c r="N358" s="19">
        <v>162</v>
      </c>
      <c r="O358" s="19">
        <f t="shared" si="10"/>
        <v>1606</v>
      </c>
      <c r="P358" s="19">
        <f t="shared" si="11"/>
        <v>9070</v>
      </c>
      <c r="Q358" t="s">
        <v>23</v>
      </c>
      <c r="R358" t="s">
        <v>66</v>
      </c>
      <c r="T358">
        <v>2</v>
      </c>
      <c r="U358" s="19">
        <v>2248</v>
      </c>
      <c r="V358">
        <v>1</v>
      </c>
      <c r="W358" s="19">
        <v>1941</v>
      </c>
      <c r="X358">
        <v>1</v>
      </c>
      <c r="Y358" s="19">
        <v>1788</v>
      </c>
      <c r="Z358">
        <v>1</v>
      </c>
      <c r="AA358" s="19">
        <v>817</v>
      </c>
      <c r="AB358">
        <v>2</v>
      </c>
      <c r="AC358" s="19">
        <v>1226</v>
      </c>
      <c r="AD358">
        <v>1</v>
      </c>
      <c r="AE358" s="19">
        <v>1022</v>
      </c>
      <c r="AF358">
        <v>0</v>
      </c>
      <c r="AG358" s="19">
        <v>0</v>
      </c>
      <c r="AH358">
        <v>3</v>
      </c>
      <c r="AI358" s="19">
        <v>429</v>
      </c>
      <c r="AJ358">
        <v>3</v>
      </c>
      <c r="AK358" s="19">
        <v>215</v>
      </c>
      <c r="AL358">
        <v>3</v>
      </c>
      <c r="AM358" s="19">
        <v>429</v>
      </c>
      <c r="AN358">
        <v>2</v>
      </c>
      <c r="AO358" s="19">
        <v>306</v>
      </c>
      <c r="AP358">
        <v>1</v>
      </c>
      <c r="AQ358" s="19">
        <v>255</v>
      </c>
    </row>
    <row r="359" spans="1:43" x14ac:dyDescent="0.35">
      <c r="A359" s="18">
        <v>45647</v>
      </c>
      <c r="B359" t="s">
        <v>60</v>
      </c>
      <c r="C359" t="s">
        <v>61</v>
      </c>
      <c r="D359">
        <v>23</v>
      </c>
      <c r="E359">
        <v>9</v>
      </c>
      <c r="F359">
        <v>14</v>
      </c>
      <c r="G359" s="19">
        <v>12135</v>
      </c>
      <c r="H359" s="19">
        <v>7465</v>
      </c>
      <c r="I359" s="19">
        <v>4670</v>
      </c>
      <c r="J359" s="19">
        <v>290</v>
      </c>
      <c r="K359" s="19">
        <v>113</v>
      </c>
      <c r="L359" s="19">
        <v>806</v>
      </c>
      <c r="M359" s="19">
        <v>268</v>
      </c>
      <c r="N359" s="19">
        <v>186</v>
      </c>
      <c r="O359" s="19">
        <f t="shared" si="10"/>
        <v>1663</v>
      </c>
      <c r="P359" s="19">
        <f t="shared" si="11"/>
        <v>10472</v>
      </c>
      <c r="Q359" t="s">
        <v>23</v>
      </c>
      <c r="R359" t="s">
        <v>66</v>
      </c>
      <c r="T359">
        <v>2</v>
      </c>
      <c r="U359" s="19">
        <v>2470</v>
      </c>
      <c r="V359">
        <v>1</v>
      </c>
      <c r="W359" s="19">
        <v>2133</v>
      </c>
      <c r="X359">
        <v>1</v>
      </c>
      <c r="Y359" s="19">
        <v>1964</v>
      </c>
      <c r="Z359">
        <v>1</v>
      </c>
      <c r="AA359" s="19">
        <v>898</v>
      </c>
      <c r="AB359">
        <v>2</v>
      </c>
      <c r="AC359" s="19">
        <v>1347</v>
      </c>
      <c r="AD359">
        <v>1</v>
      </c>
      <c r="AE359" s="19">
        <v>1123</v>
      </c>
      <c r="AF359">
        <v>0</v>
      </c>
      <c r="AG359" s="19">
        <v>0</v>
      </c>
      <c r="AH359">
        <v>4</v>
      </c>
      <c r="AI359" s="19">
        <v>629</v>
      </c>
      <c r="AJ359">
        <v>4</v>
      </c>
      <c r="AK359" s="19">
        <v>314</v>
      </c>
      <c r="AL359">
        <v>3</v>
      </c>
      <c r="AM359" s="19">
        <v>471</v>
      </c>
      <c r="AN359">
        <v>3</v>
      </c>
      <c r="AO359" s="19">
        <v>505</v>
      </c>
      <c r="AP359">
        <v>1</v>
      </c>
      <c r="AQ359" s="19">
        <v>281</v>
      </c>
    </row>
    <row r="360" spans="1:43" x14ac:dyDescent="0.35">
      <c r="A360" s="18">
        <v>45648</v>
      </c>
      <c r="B360" t="s">
        <v>62</v>
      </c>
      <c r="C360" t="s">
        <v>61</v>
      </c>
      <c r="D360">
        <v>23</v>
      </c>
      <c r="E360">
        <v>11</v>
      </c>
      <c r="F360">
        <v>12</v>
      </c>
      <c r="G360" s="19">
        <v>12282</v>
      </c>
      <c r="H360" s="19">
        <v>8786</v>
      </c>
      <c r="I360" s="19">
        <v>3496</v>
      </c>
      <c r="J360" s="19">
        <v>290</v>
      </c>
      <c r="K360" s="19">
        <v>113</v>
      </c>
      <c r="L360" s="19">
        <v>806</v>
      </c>
      <c r="M360" s="19">
        <v>271</v>
      </c>
      <c r="N360" s="19">
        <v>186</v>
      </c>
      <c r="O360" s="19">
        <f t="shared" si="10"/>
        <v>1666</v>
      </c>
      <c r="P360" s="19">
        <f t="shared" si="11"/>
        <v>10616</v>
      </c>
      <c r="Q360" t="s">
        <v>29</v>
      </c>
      <c r="R360" t="s">
        <v>66</v>
      </c>
      <c r="T360">
        <v>2</v>
      </c>
      <c r="U360" s="19">
        <v>1952</v>
      </c>
      <c r="V360">
        <v>1</v>
      </c>
      <c r="W360" s="19">
        <v>1686</v>
      </c>
      <c r="X360">
        <v>1</v>
      </c>
      <c r="Y360" s="19">
        <v>1553</v>
      </c>
      <c r="Z360">
        <v>1</v>
      </c>
      <c r="AA360" s="19">
        <v>710</v>
      </c>
      <c r="AB360">
        <v>2</v>
      </c>
      <c r="AC360" s="19">
        <v>1065</v>
      </c>
      <c r="AD360">
        <v>1</v>
      </c>
      <c r="AE360" s="19">
        <v>887</v>
      </c>
      <c r="AF360">
        <v>1</v>
      </c>
      <c r="AG360" s="19">
        <v>2662</v>
      </c>
      <c r="AH360">
        <v>4</v>
      </c>
      <c r="AI360" s="19">
        <v>497</v>
      </c>
      <c r="AJ360">
        <v>3</v>
      </c>
      <c r="AK360" s="19">
        <v>186</v>
      </c>
      <c r="AL360">
        <v>3</v>
      </c>
      <c r="AM360" s="19">
        <v>373</v>
      </c>
      <c r="AN360">
        <v>2</v>
      </c>
      <c r="AO360" s="19">
        <v>266</v>
      </c>
      <c r="AP360">
        <v>2</v>
      </c>
      <c r="AQ360" s="19">
        <v>444</v>
      </c>
    </row>
    <row r="361" spans="1:43" x14ac:dyDescent="0.35">
      <c r="A361" s="18">
        <v>45649</v>
      </c>
      <c r="B361" t="s">
        <v>52</v>
      </c>
      <c r="C361" t="s">
        <v>53</v>
      </c>
      <c r="D361">
        <v>20</v>
      </c>
      <c r="E361">
        <v>10</v>
      </c>
      <c r="F361">
        <v>10</v>
      </c>
      <c r="G361" s="19">
        <v>10905</v>
      </c>
      <c r="H361" s="19">
        <v>7412</v>
      </c>
      <c r="I361" s="19">
        <v>3493</v>
      </c>
      <c r="J361" s="19">
        <v>290</v>
      </c>
      <c r="K361" s="19">
        <v>113</v>
      </c>
      <c r="L361" s="19">
        <v>806</v>
      </c>
      <c r="M361" s="19">
        <v>241</v>
      </c>
      <c r="N361" s="19">
        <v>162</v>
      </c>
      <c r="O361" s="19">
        <f t="shared" si="10"/>
        <v>1612</v>
      </c>
      <c r="P361" s="19">
        <f t="shared" si="11"/>
        <v>9293</v>
      </c>
      <c r="Q361" t="s">
        <v>23</v>
      </c>
      <c r="R361" t="s">
        <v>66</v>
      </c>
      <c r="T361">
        <v>2</v>
      </c>
      <c r="U361" s="19">
        <v>2402</v>
      </c>
      <c r="V361">
        <v>1</v>
      </c>
      <c r="W361" s="19">
        <v>2074</v>
      </c>
      <c r="X361">
        <v>1</v>
      </c>
      <c r="Y361" s="19">
        <v>1910</v>
      </c>
      <c r="Z361">
        <v>1</v>
      </c>
      <c r="AA361" s="19">
        <v>873</v>
      </c>
      <c r="AB361">
        <v>1</v>
      </c>
      <c r="AC361" s="19">
        <v>655</v>
      </c>
      <c r="AD361">
        <v>1</v>
      </c>
      <c r="AE361" s="19">
        <v>1092</v>
      </c>
      <c r="AF361">
        <v>0</v>
      </c>
      <c r="AG361" s="19">
        <v>0</v>
      </c>
      <c r="AH361">
        <v>4</v>
      </c>
      <c r="AI361" s="19">
        <v>611</v>
      </c>
      <c r="AJ361">
        <v>3</v>
      </c>
      <c r="AK361" s="19">
        <v>229</v>
      </c>
      <c r="AL361">
        <v>3</v>
      </c>
      <c r="AM361" s="19">
        <v>458</v>
      </c>
      <c r="AN361">
        <v>2</v>
      </c>
      <c r="AO361" s="19">
        <v>327</v>
      </c>
      <c r="AP361">
        <v>1</v>
      </c>
      <c r="AQ361" s="19">
        <v>273</v>
      </c>
    </row>
    <row r="362" spans="1:43" x14ac:dyDescent="0.35">
      <c r="A362" s="18">
        <v>45650</v>
      </c>
      <c r="B362" t="s">
        <v>56</v>
      </c>
      <c r="C362" t="s">
        <v>53</v>
      </c>
      <c r="D362">
        <v>20</v>
      </c>
      <c r="E362">
        <v>10</v>
      </c>
      <c r="F362">
        <v>10</v>
      </c>
      <c r="G362" s="19">
        <v>10436</v>
      </c>
      <c r="H362" s="19">
        <v>7093</v>
      </c>
      <c r="I362" s="19">
        <v>3343</v>
      </c>
      <c r="J362" s="19">
        <v>290</v>
      </c>
      <c r="K362" s="19">
        <v>113</v>
      </c>
      <c r="L362" s="19">
        <v>806</v>
      </c>
      <c r="M362" s="19">
        <v>230</v>
      </c>
      <c r="N362" s="19">
        <v>162</v>
      </c>
      <c r="O362" s="19">
        <f t="shared" si="10"/>
        <v>1601</v>
      </c>
      <c r="P362" s="19">
        <f t="shared" si="11"/>
        <v>8835</v>
      </c>
      <c r="Q362" t="s">
        <v>23</v>
      </c>
      <c r="R362" t="s">
        <v>66</v>
      </c>
      <c r="T362">
        <v>2</v>
      </c>
      <c r="U362" s="19">
        <v>2298</v>
      </c>
      <c r="V362">
        <v>1</v>
      </c>
      <c r="W362" s="19">
        <v>1985</v>
      </c>
      <c r="X362">
        <v>1</v>
      </c>
      <c r="Y362" s="19">
        <v>1828</v>
      </c>
      <c r="Z362">
        <v>1</v>
      </c>
      <c r="AA362" s="19">
        <v>836</v>
      </c>
      <c r="AB362">
        <v>1</v>
      </c>
      <c r="AC362" s="19">
        <v>627</v>
      </c>
      <c r="AD362">
        <v>1</v>
      </c>
      <c r="AE362" s="19">
        <v>1045</v>
      </c>
      <c r="AF362">
        <v>0</v>
      </c>
      <c r="AG362" s="19">
        <v>0</v>
      </c>
      <c r="AH362">
        <v>4</v>
      </c>
      <c r="AI362" s="19">
        <v>585</v>
      </c>
      <c r="AJ362">
        <v>3</v>
      </c>
      <c r="AK362" s="19">
        <v>219</v>
      </c>
      <c r="AL362">
        <v>3</v>
      </c>
      <c r="AM362" s="19">
        <v>439</v>
      </c>
      <c r="AN362">
        <v>2</v>
      </c>
      <c r="AO362" s="19">
        <v>313</v>
      </c>
      <c r="AP362">
        <v>1</v>
      </c>
      <c r="AQ362" s="19">
        <v>261</v>
      </c>
    </row>
    <row r="363" spans="1:43" x14ac:dyDescent="0.35">
      <c r="A363" s="18">
        <v>45651</v>
      </c>
      <c r="B363" t="s">
        <v>57</v>
      </c>
      <c r="C363" t="s">
        <v>53</v>
      </c>
      <c r="D363">
        <v>20</v>
      </c>
      <c r="E363">
        <v>10</v>
      </c>
      <c r="F363">
        <v>10</v>
      </c>
      <c r="G363" s="19">
        <v>10399</v>
      </c>
      <c r="H363" s="19">
        <v>6757</v>
      </c>
      <c r="I363" s="19">
        <v>3642</v>
      </c>
      <c r="J363" s="19">
        <v>290</v>
      </c>
      <c r="K363" s="19">
        <v>113</v>
      </c>
      <c r="L363" s="19">
        <v>806</v>
      </c>
      <c r="M363" s="19">
        <v>229</v>
      </c>
      <c r="N363" s="19">
        <v>162</v>
      </c>
      <c r="O363" s="19">
        <f t="shared" si="10"/>
        <v>1600</v>
      </c>
      <c r="P363" s="19">
        <f t="shared" si="11"/>
        <v>8799</v>
      </c>
      <c r="Q363" t="s">
        <v>23</v>
      </c>
      <c r="R363" t="s">
        <v>66</v>
      </c>
      <c r="T363">
        <v>2</v>
      </c>
      <c r="U363" s="19">
        <v>2189</v>
      </c>
      <c r="V363">
        <v>1</v>
      </c>
      <c r="W363" s="19">
        <v>1891</v>
      </c>
      <c r="X363">
        <v>1</v>
      </c>
      <c r="Y363" s="19">
        <v>1741</v>
      </c>
      <c r="Z363">
        <v>1</v>
      </c>
      <c r="AA363" s="19">
        <v>796</v>
      </c>
      <c r="AB363">
        <v>2</v>
      </c>
      <c r="AC363" s="19">
        <v>1194</v>
      </c>
      <c r="AD363">
        <v>1</v>
      </c>
      <c r="AE363" s="19">
        <v>995</v>
      </c>
      <c r="AF363">
        <v>0</v>
      </c>
      <c r="AG363" s="19">
        <v>0</v>
      </c>
      <c r="AH363">
        <v>4</v>
      </c>
      <c r="AI363" s="19">
        <v>557</v>
      </c>
      <c r="AJ363">
        <v>3</v>
      </c>
      <c r="AK363" s="19">
        <v>209</v>
      </c>
      <c r="AL363">
        <v>2</v>
      </c>
      <c r="AM363" s="19">
        <v>279</v>
      </c>
      <c r="AN363">
        <v>2</v>
      </c>
      <c r="AO363" s="19">
        <v>299</v>
      </c>
      <c r="AP363">
        <v>1</v>
      </c>
      <c r="AQ363" s="19">
        <v>249</v>
      </c>
    </row>
    <row r="364" spans="1:43" x14ac:dyDescent="0.35">
      <c r="A364" s="18">
        <v>45652</v>
      </c>
      <c r="B364" t="s">
        <v>58</v>
      </c>
      <c r="C364" t="s">
        <v>53</v>
      </c>
      <c r="D364">
        <v>18</v>
      </c>
      <c r="E364">
        <v>9</v>
      </c>
      <c r="F364">
        <v>9</v>
      </c>
      <c r="G364" s="19">
        <v>9496</v>
      </c>
      <c r="H364" s="19">
        <v>6503</v>
      </c>
      <c r="I364" s="19">
        <v>2993</v>
      </c>
      <c r="J364" s="19">
        <v>290</v>
      </c>
      <c r="K364" s="19">
        <v>113</v>
      </c>
      <c r="L364" s="19">
        <v>806</v>
      </c>
      <c r="M364" s="19">
        <v>209</v>
      </c>
      <c r="N364" s="19">
        <v>146</v>
      </c>
      <c r="O364" s="19">
        <f t="shared" si="10"/>
        <v>1564</v>
      </c>
      <c r="P364" s="19">
        <f t="shared" si="11"/>
        <v>7932</v>
      </c>
      <c r="Q364" t="s">
        <v>23</v>
      </c>
      <c r="R364" t="s">
        <v>66</v>
      </c>
      <c r="T364">
        <v>2</v>
      </c>
      <c r="U364" s="19">
        <v>2152</v>
      </c>
      <c r="V364">
        <v>1</v>
      </c>
      <c r="W364" s="19">
        <v>1858</v>
      </c>
      <c r="X364">
        <v>1</v>
      </c>
      <c r="Y364" s="19">
        <v>1711</v>
      </c>
      <c r="Z364">
        <v>1</v>
      </c>
      <c r="AA364" s="19">
        <v>782</v>
      </c>
      <c r="AB364">
        <v>1</v>
      </c>
      <c r="AC364" s="19">
        <v>587</v>
      </c>
      <c r="AD364">
        <v>1</v>
      </c>
      <c r="AE364" s="19">
        <v>978</v>
      </c>
      <c r="AF364">
        <v>0</v>
      </c>
      <c r="AG364" s="19">
        <v>0</v>
      </c>
      <c r="AH364">
        <v>3</v>
      </c>
      <c r="AI364" s="19">
        <v>411</v>
      </c>
      <c r="AJ364">
        <v>3</v>
      </c>
      <c r="AK364" s="19">
        <v>205</v>
      </c>
      <c r="AL364">
        <v>2</v>
      </c>
      <c r="AM364" s="19">
        <v>274</v>
      </c>
      <c r="AN364">
        <v>2</v>
      </c>
      <c r="AO364" s="19">
        <v>293</v>
      </c>
      <c r="AP364">
        <v>1</v>
      </c>
      <c r="AQ364" s="19">
        <v>244</v>
      </c>
    </row>
    <row r="365" spans="1:43" x14ac:dyDescent="0.35">
      <c r="A365" s="18">
        <v>45653</v>
      </c>
      <c r="B365" t="s">
        <v>59</v>
      </c>
      <c r="C365" t="s">
        <v>53</v>
      </c>
      <c r="D365">
        <v>18</v>
      </c>
      <c r="E365">
        <v>9</v>
      </c>
      <c r="F365">
        <v>9</v>
      </c>
      <c r="G365" s="19">
        <v>9954</v>
      </c>
      <c r="H365" s="19">
        <v>7187</v>
      </c>
      <c r="I365" s="19">
        <v>2767</v>
      </c>
      <c r="J365" s="19">
        <v>290</v>
      </c>
      <c r="K365" s="19">
        <v>113</v>
      </c>
      <c r="L365" s="19">
        <v>806</v>
      </c>
      <c r="M365" s="19">
        <v>220</v>
      </c>
      <c r="N365" s="19">
        <v>146</v>
      </c>
      <c r="O365" s="19">
        <f t="shared" si="10"/>
        <v>1575</v>
      </c>
      <c r="P365" s="19">
        <f t="shared" si="11"/>
        <v>8379</v>
      </c>
      <c r="Q365" t="s">
        <v>24</v>
      </c>
      <c r="R365" t="s">
        <v>66</v>
      </c>
      <c r="T365">
        <v>1</v>
      </c>
      <c r="U365" s="19">
        <v>1189</v>
      </c>
      <c r="V365">
        <v>1</v>
      </c>
      <c r="W365" s="19">
        <v>2053</v>
      </c>
      <c r="X365">
        <v>1</v>
      </c>
      <c r="Y365" s="19">
        <v>1891</v>
      </c>
      <c r="Z365">
        <v>1</v>
      </c>
      <c r="AA365" s="19">
        <v>865</v>
      </c>
      <c r="AB365">
        <v>2</v>
      </c>
      <c r="AC365" s="19">
        <v>1297</v>
      </c>
      <c r="AD365">
        <v>1</v>
      </c>
      <c r="AE365" s="19">
        <v>1081</v>
      </c>
      <c r="AF365">
        <v>0</v>
      </c>
      <c r="AG365" s="19">
        <v>0</v>
      </c>
      <c r="AH365">
        <v>3</v>
      </c>
      <c r="AI365" s="19">
        <v>454</v>
      </c>
      <c r="AJ365">
        <v>3</v>
      </c>
      <c r="AK365" s="19">
        <v>227</v>
      </c>
      <c r="AL365">
        <v>2</v>
      </c>
      <c r="AM365" s="19">
        <v>303</v>
      </c>
      <c r="AN365">
        <v>2</v>
      </c>
      <c r="AO365" s="19">
        <v>324</v>
      </c>
      <c r="AP365">
        <v>1</v>
      </c>
      <c r="AQ365" s="19">
        <v>270</v>
      </c>
    </row>
    <row r="366" spans="1:43" x14ac:dyDescent="0.35">
      <c r="A366" s="18">
        <v>45654</v>
      </c>
      <c r="B366" t="s">
        <v>60</v>
      </c>
      <c r="C366" t="s">
        <v>61</v>
      </c>
      <c r="D366">
        <v>25</v>
      </c>
      <c r="E366">
        <v>11</v>
      </c>
      <c r="F366">
        <v>14</v>
      </c>
      <c r="G366" s="19">
        <v>13456</v>
      </c>
      <c r="H366" s="19">
        <v>9007</v>
      </c>
      <c r="I366" s="19">
        <v>4449</v>
      </c>
      <c r="J366" s="19">
        <v>290</v>
      </c>
      <c r="K366" s="19">
        <v>113</v>
      </c>
      <c r="L366" s="19">
        <v>806</v>
      </c>
      <c r="M366" s="19">
        <v>297</v>
      </c>
      <c r="N366" s="19">
        <v>202</v>
      </c>
      <c r="O366" s="19">
        <f t="shared" si="10"/>
        <v>1708</v>
      </c>
      <c r="P366" s="19">
        <f t="shared" si="11"/>
        <v>11748</v>
      </c>
      <c r="Q366" t="s">
        <v>29</v>
      </c>
      <c r="R366" t="s">
        <v>66</v>
      </c>
      <c r="T366">
        <v>2</v>
      </c>
      <c r="U366" s="19">
        <v>2002</v>
      </c>
      <c r="V366">
        <v>1</v>
      </c>
      <c r="W366" s="19">
        <v>1729</v>
      </c>
      <c r="X366">
        <v>1</v>
      </c>
      <c r="Y366" s="19">
        <v>1592</v>
      </c>
      <c r="Z366">
        <v>2</v>
      </c>
      <c r="AA366" s="19">
        <v>1456</v>
      </c>
      <c r="AB366">
        <v>2</v>
      </c>
      <c r="AC366" s="19">
        <v>1092</v>
      </c>
      <c r="AD366">
        <v>1</v>
      </c>
      <c r="AE366" s="19">
        <v>910</v>
      </c>
      <c r="AF366">
        <v>1</v>
      </c>
      <c r="AG366" s="19">
        <v>2729</v>
      </c>
      <c r="AH366">
        <v>4</v>
      </c>
      <c r="AI366" s="19">
        <v>509</v>
      </c>
      <c r="AJ366">
        <v>3</v>
      </c>
      <c r="AK366" s="19">
        <v>191</v>
      </c>
      <c r="AL366">
        <v>3</v>
      </c>
      <c r="AM366" s="19">
        <v>382</v>
      </c>
      <c r="AN366">
        <v>3</v>
      </c>
      <c r="AO366" s="19">
        <v>409</v>
      </c>
      <c r="AP366">
        <v>2</v>
      </c>
      <c r="AQ366" s="19">
        <v>455</v>
      </c>
    </row>
    <row r="367" spans="1:43" x14ac:dyDescent="0.35">
      <c r="A367" s="18">
        <v>45655</v>
      </c>
      <c r="B367" t="s">
        <v>62</v>
      </c>
      <c r="C367" t="s">
        <v>61</v>
      </c>
      <c r="D367">
        <v>24</v>
      </c>
      <c r="E367">
        <v>10</v>
      </c>
      <c r="F367">
        <v>14</v>
      </c>
      <c r="G367" s="19">
        <v>12948</v>
      </c>
      <c r="H367" s="19">
        <v>7629</v>
      </c>
      <c r="I367" s="19">
        <v>5319</v>
      </c>
      <c r="J367" s="19">
        <v>290</v>
      </c>
      <c r="K367" s="19">
        <v>113</v>
      </c>
      <c r="L367" s="19">
        <v>806</v>
      </c>
      <c r="M367" s="19">
        <v>286</v>
      </c>
      <c r="N367" s="19">
        <v>194</v>
      </c>
      <c r="O367" s="19">
        <f t="shared" si="10"/>
        <v>1689</v>
      </c>
      <c r="P367" s="19">
        <f t="shared" si="11"/>
        <v>11259</v>
      </c>
      <c r="Q367" t="s">
        <v>23</v>
      </c>
      <c r="R367" t="s">
        <v>66</v>
      </c>
      <c r="T367">
        <v>2</v>
      </c>
      <c r="U367" s="19">
        <v>2433</v>
      </c>
      <c r="V367">
        <v>1</v>
      </c>
      <c r="W367" s="19">
        <v>2101</v>
      </c>
      <c r="X367">
        <v>1</v>
      </c>
      <c r="Y367" s="19">
        <v>1935</v>
      </c>
      <c r="Z367">
        <v>2</v>
      </c>
      <c r="AA367" s="19">
        <v>1769</v>
      </c>
      <c r="AB367">
        <v>2</v>
      </c>
      <c r="AC367" s="19">
        <v>1327</v>
      </c>
      <c r="AD367">
        <v>1</v>
      </c>
      <c r="AE367" s="19">
        <v>1106</v>
      </c>
      <c r="AF367">
        <v>0</v>
      </c>
      <c r="AG367" s="19">
        <v>0</v>
      </c>
      <c r="AH367">
        <v>4</v>
      </c>
      <c r="AI367" s="19">
        <v>619</v>
      </c>
      <c r="AJ367">
        <v>4</v>
      </c>
      <c r="AK367" s="19">
        <v>310</v>
      </c>
      <c r="AL367">
        <v>3</v>
      </c>
      <c r="AM367" s="19">
        <v>464</v>
      </c>
      <c r="AN367">
        <v>2</v>
      </c>
      <c r="AO367" s="19">
        <v>332</v>
      </c>
      <c r="AP367">
        <v>2</v>
      </c>
      <c r="AQ367" s="19">
        <v>553</v>
      </c>
    </row>
    <row r="368" spans="1:43" x14ac:dyDescent="0.35">
      <c r="A368" s="18">
        <v>45656</v>
      </c>
      <c r="B368" t="s">
        <v>52</v>
      </c>
      <c r="C368" t="s">
        <v>53</v>
      </c>
      <c r="D368">
        <v>20</v>
      </c>
      <c r="E368">
        <v>9</v>
      </c>
      <c r="F368">
        <v>11</v>
      </c>
      <c r="G368" s="19">
        <v>10370</v>
      </c>
      <c r="H368" s="19">
        <v>6599</v>
      </c>
      <c r="I368" s="19">
        <v>3771</v>
      </c>
      <c r="J368" s="19">
        <v>290</v>
      </c>
      <c r="K368" s="19">
        <v>113</v>
      </c>
      <c r="L368" s="19">
        <v>806</v>
      </c>
      <c r="M368" s="19">
        <v>229</v>
      </c>
      <c r="N368" s="19">
        <v>162</v>
      </c>
      <c r="O368" s="19">
        <f t="shared" si="10"/>
        <v>1600</v>
      </c>
      <c r="P368" s="19">
        <f t="shared" si="11"/>
        <v>8770</v>
      </c>
      <c r="Q368" t="s">
        <v>23</v>
      </c>
      <c r="R368" t="s">
        <v>66</v>
      </c>
      <c r="T368">
        <v>2</v>
      </c>
      <c r="U368" s="19">
        <v>2183</v>
      </c>
      <c r="V368">
        <v>1</v>
      </c>
      <c r="W368" s="19">
        <v>1885</v>
      </c>
      <c r="X368">
        <v>1</v>
      </c>
      <c r="Y368" s="19">
        <v>1737</v>
      </c>
      <c r="Z368">
        <v>1</v>
      </c>
      <c r="AA368" s="19">
        <v>794</v>
      </c>
      <c r="AB368">
        <v>2</v>
      </c>
      <c r="AC368" s="19">
        <v>1191</v>
      </c>
      <c r="AD368">
        <v>1</v>
      </c>
      <c r="AE368" s="19">
        <v>992</v>
      </c>
      <c r="AF368">
        <v>0</v>
      </c>
      <c r="AG368" s="19">
        <v>0</v>
      </c>
      <c r="AH368">
        <v>3</v>
      </c>
      <c r="AI368" s="19">
        <v>417</v>
      </c>
      <c r="AJ368">
        <v>3</v>
      </c>
      <c r="AK368" s="19">
        <v>208</v>
      </c>
      <c r="AL368">
        <v>3</v>
      </c>
      <c r="AM368" s="19">
        <v>417</v>
      </c>
      <c r="AN368">
        <v>2</v>
      </c>
      <c r="AO368" s="19">
        <v>298</v>
      </c>
      <c r="AP368">
        <v>1</v>
      </c>
      <c r="AQ368" s="19">
        <v>248</v>
      </c>
    </row>
    <row r="369" spans="1:43" x14ac:dyDescent="0.35">
      <c r="A369" s="18">
        <v>45657</v>
      </c>
      <c r="B369" t="s">
        <v>56</v>
      </c>
      <c r="C369" t="s">
        <v>53</v>
      </c>
      <c r="D369">
        <v>19</v>
      </c>
      <c r="E369">
        <v>10</v>
      </c>
      <c r="F369">
        <v>9</v>
      </c>
      <c r="G369" s="19">
        <v>10179</v>
      </c>
      <c r="H369" s="19">
        <v>7392</v>
      </c>
      <c r="I369" s="19">
        <v>2787</v>
      </c>
      <c r="J369" s="19">
        <v>290</v>
      </c>
      <c r="K369" s="19">
        <v>113</v>
      </c>
      <c r="L369" s="19">
        <v>806</v>
      </c>
      <c r="M369" s="19">
        <v>225</v>
      </c>
      <c r="N369" s="19">
        <v>154</v>
      </c>
      <c r="O369" s="19">
        <f t="shared" si="10"/>
        <v>1588</v>
      </c>
      <c r="P369" s="19">
        <f t="shared" si="11"/>
        <v>8591</v>
      </c>
      <c r="Q369" t="s">
        <v>24</v>
      </c>
      <c r="R369" t="s">
        <v>66</v>
      </c>
      <c r="T369">
        <v>1</v>
      </c>
      <c r="U369" s="19">
        <v>1198</v>
      </c>
      <c r="V369">
        <v>1</v>
      </c>
      <c r="W369" s="19">
        <v>2068</v>
      </c>
      <c r="X369">
        <v>1</v>
      </c>
      <c r="Y369" s="19">
        <v>1905</v>
      </c>
      <c r="Z369">
        <v>1</v>
      </c>
      <c r="AA369" s="19">
        <v>871</v>
      </c>
      <c r="AB369">
        <v>2</v>
      </c>
      <c r="AC369" s="19">
        <v>1306</v>
      </c>
      <c r="AD369">
        <v>1</v>
      </c>
      <c r="AE369" s="19">
        <v>1089</v>
      </c>
      <c r="AF369">
        <v>0</v>
      </c>
      <c r="AG369" s="19">
        <v>0</v>
      </c>
      <c r="AH369">
        <v>4</v>
      </c>
      <c r="AI369" s="19">
        <v>610</v>
      </c>
      <c r="AJ369">
        <v>3</v>
      </c>
      <c r="AK369" s="19">
        <v>229</v>
      </c>
      <c r="AL369">
        <v>2</v>
      </c>
      <c r="AM369" s="19">
        <v>305</v>
      </c>
      <c r="AN369">
        <v>2</v>
      </c>
      <c r="AO369" s="19">
        <v>327</v>
      </c>
      <c r="AP369">
        <v>1</v>
      </c>
      <c r="AQ369" s="19">
        <v>272</v>
      </c>
    </row>
    <row r="370" spans="1:43" x14ac:dyDescent="0.35">
      <c r="A370" s="18">
        <v>45658</v>
      </c>
      <c r="B370" t="s">
        <v>57</v>
      </c>
      <c r="C370" t="s">
        <v>53</v>
      </c>
      <c r="D370">
        <v>5</v>
      </c>
      <c r="E370">
        <v>1</v>
      </c>
      <c r="F370">
        <v>4</v>
      </c>
      <c r="G370" s="19">
        <v>2865</v>
      </c>
      <c r="H370" s="19">
        <v>1970</v>
      </c>
      <c r="I370" s="19">
        <v>895</v>
      </c>
      <c r="J370" s="19">
        <v>232</v>
      </c>
      <c r="K370" s="19">
        <v>97</v>
      </c>
      <c r="L370" s="19">
        <v>806</v>
      </c>
      <c r="M370" s="19">
        <v>63</v>
      </c>
      <c r="N370" s="19">
        <v>40</v>
      </c>
      <c r="O370" s="19">
        <f t="shared" si="10"/>
        <v>1238</v>
      </c>
      <c r="P370" s="19">
        <f t="shared" si="11"/>
        <v>1627</v>
      </c>
      <c r="Q370" t="s">
        <v>23</v>
      </c>
      <c r="R370" t="s">
        <v>55</v>
      </c>
      <c r="T370">
        <v>1</v>
      </c>
      <c r="U370" s="19">
        <v>1970</v>
      </c>
      <c r="V370">
        <v>0</v>
      </c>
      <c r="W370" s="19">
        <v>0</v>
      </c>
      <c r="X370">
        <v>0</v>
      </c>
      <c r="Y370" s="19">
        <v>0</v>
      </c>
      <c r="Z370">
        <v>0</v>
      </c>
      <c r="AA370" s="19">
        <v>0</v>
      </c>
      <c r="AB370">
        <v>0</v>
      </c>
      <c r="AC370" s="19">
        <v>0</v>
      </c>
      <c r="AD370">
        <v>0</v>
      </c>
      <c r="AE370" s="19">
        <v>0</v>
      </c>
      <c r="AF370">
        <v>0</v>
      </c>
      <c r="AG370" s="19">
        <v>0</v>
      </c>
      <c r="AH370">
        <v>1</v>
      </c>
      <c r="AI370" s="19">
        <v>251</v>
      </c>
      <c r="AJ370">
        <v>1</v>
      </c>
      <c r="AK370" s="19">
        <v>125</v>
      </c>
      <c r="AL370">
        <v>1</v>
      </c>
      <c r="AM370" s="19">
        <v>251</v>
      </c>
      <c r="AN370">
        <v>1</v>
      </c>
      <c r="AO370" s="19">
        <v>269</v>
      </c>
      <c r="AP370">
        <v>0</v>
      </c>
      <c r="AQ370" s="19">
        <v>0</v>
      </c>
    </row>
    <row r="371" spans="1:43" x14ac:dyDescent="0.35">
      <c r="A371" s="18">
        <v>45659</v>
      </c>
      <c r="B371" t="s">
        <v>58</v>
      </c>
      <c r="C371" t="s">
        <v>53</v>
      </c>
      <c r="D371">
        <v>6</v>
      </c>
      <c r="E371">
        <v>2</v>
      </c>
      <c r="F371">
        <v>4</v>
      </c>
      <c r="G371" s="19">
        <v>3015</v>
      </c>
      <c r="H371" s="19">
        <v>2330</v>
      </c>
      <c r="I371" s="19">
        <v>685</v>
      </c>
      <c r="J371" s="19">
        <v>232</v>
      </c>
      <c r="K371" s="19">
        <v>97</v>
      </c>
      <c r="L371" s="19">
        <v>806</v>
      </c>
      <c r="M371" s="19">
        <v>66</v>
      </c>
      <c r="N371" s="19">
        <v>49</v>
      </c>
      <c r="O371" s="19">
        <f t="shared" si="10"/>
        <v>1250</v>
      </c>
      <c r="P371" s="19">
        <f t="shared" si="11"/>
        <v>1765</v>
      </c>
      <c r="Q371" t="s">
        <v>23</v>
      </c>
      <c r="R371" t="s">
        <v>55</v>
      </c>
      <c r="T371">
        <v>1</v>
      </c>
      <c r="U371" s="19">
        <v>1508</v>
      </c>
      <c r="V371">
        <v>0</v>
      </c>
      <c r="W371" s="19">
        <v>0</v>
      </c>
      <c r="X371">
        <v>0</v>
      </c>
      <c r="Y371" s="19">
        <v>0</v>
      </c>
      <c r="Z371">
        <v>0</v>
      </c>
      <c r="AA371" s="19">
        <v>0</v>
      </c>
      <c r="AB371">
        <v>1</v>
      </c>
      <c r="AC371" s="19">
        <v>822</v>
      </c>
      <c r="AD371">
        <v>0</v>
      </c>
      <c r="AE371" s="19">
        <v>0</v>
      </c>
      <c r="AF371">
        <v>0</v>
      </c>
      <c r="AG371" s="19">
        <v>0</v>
      </c>
      <c r="AH371">
        <v>1</v>
      </c>
      <c r="AI371" s="19">
        <v>192</v>
      </c>
      <c r="AJ371">
        <v>1</v>
      </c>
      <c r="AK371" s="19">
        <v>96</v>
      </c>
      <c r="AL371">
        <v>1</v>
      </c>
      <c r="AM371" s="19">
        <v>192</v>
      </c>
      <c r="AN371">
        <v>1</v>
      </c>
      <c r="AO371" s="19">
        <v>206</v>
      </c>
      <c r="AP371">
        <v>0</v>
      </c>
      <c r="AQ371" s="19">
        <v>0</v>
      </c>
    </row>
    <row r="372" spans="1:43" x14ac:dyDescent="0.35">
      <c r="A372" s="18">
        <v>45660</v>
      </c>
      <c r="B372" t="s">
        <v>59</v>
      </c>
      <c r="C372" t="s">
        <v>53</v>
      </c>
      <c r="D372">
        <v>6</v>
      </c>
      <c r="E372">
        <v>1</v>
      </c>
      <c r="F372">
        <v>5</v>
      </c>
      <c r="G372" s="19">
        <v>3166</v>
      </c>
      <c r="H372" s="19">
        <v>1882</v>
      </c>
      <c r="I372" s="19">
        <v>1284</v>
      </c>
      <c r="J372" s="19">
        <v>232</v>
      </c>
      <c r="K372" s="19">
        <v>97</v>
      </c>
      <c r="L372" s="19">
        <v>806</v>
      </c>
      <c r="M372" s="19">
        <v>70</v>
      </c>
      <c r="N372" s="19">
        <v>49</v>
      </c>
      <c r="O372" s="19">
        <f t="shared" si="10"/>
        <v>1254</v>
      </c>
      <c r="P372" s="19">
        <f t="shared" si="11"/>
        <v>1912</v>
      </c>
      <c r="Q372" t="s">
        <v>23</v>
      </c>
      <c r="R372" t="s">
        <v>55</v>
      </c>
      <c r="T372">
        <v>1</v>
      </c>
      <c r="U372" s="19">
        <v>1882</v>
      </c>
      <c r="V372">
        <v>0</v>
      </c>
      <c r="W372" s="19">
        <v>0</v>
      </c>
      <c r="X372">
        <v>0</v>
      </c>
      <c r="Y372" s="19">
        <v>0</v>
      </c>
      <c r="Z372">
        <v>0</v>
      </c>
      <c r="AA372" s="19">
        <v>0</v>
      </c>
      <c r="AB372">
        <v>0</v>
      </c>
      <c r="AC372" s="19">
        <v>0</v>
      </c>
      <c r="AD372">
        <v>0</v>
      </c>
      <c r="AE372" s="19">
        <v>0</v>
      </c>
      <c r="AF372">
        <v>0</v>
      </c>
      <c r="AG372" s="19">
        <v>0</v>
      </c>
      <c r="AH372">
        <v>1</v>
      </c>
      <c r="AI372" s="19">
        <v>240</v>
      </c>
      <c r="AJ372">
        <v>1</v>
      </c>
      <c r="AK372" s="19">
        <v>120</v>
      </c>
      <c r="AL372">
        <v>1</v>
      </c>
      <c r="AM372" s="19">
        <v>240</v>
      </c>
      <c r="AN372">
        <v>1</v>
      </c>
      <c r="AO372" s="19">
        <v>257</v>
      </c>
      <c r="AP372">
        <v>1</v>
      </c>
      <c r="AQ372" s="19">
        <v>428</v>
      </c>
    </row>
    <row r="373" spans="1:43" x14ac:dyDescent="0.35">
      <c r="A373" s="18">
        <v>45661</v>
      </c>
      <c r="B373" t="s">
        <v>60</v>
      </c>
      <c r="C373" t="s">
        <v>61</v>
      </c>
      <c r="D373">
        <v>7</v>
      </c>
      <c r="E373">
        <v>2</v>
      </c>
      <c r="F373">
        <v>5</v>
      </c>
      <c r="G373" s="19">
        <v>3920</v>
      </c>
      <c r="H373" s="19">
        <v>2720</v>
      </c>
      <c r="I373" s="19">
        <v>1200</v>
      </c>
      <c r="J373" s="19">
        <v>232</v>
      </c>
      <c r="K373" s="19">
        <v>97</v>
      </c>
      <c r="L373" s="19">
        <v>806</v>
      </c>
      <c r="M373" s="19">
        <v>86</v>
      </c>
      <c r="N373" s="19">
        <v>57</v>
      </c>
      <c r="O373" s="19">
        <f t="shared" si="10"/>
        <v>1278</v>
      </c>
      <c r="P373" s="19">
        <f t="shared" si="11"/>
        <v>2642</v>
      </c>
      <c r="Q373" t="s">
        <v>23</v>
      </c>
      <c r="R373" t="s">
        <v>55</v>
      </c>
      <c r="T373">
        <v>1</v>
      </c>
      <c r="U373" s="19">
        <v>1760</v>
      </c>
      <c r="V373">
        <v>0</v>
      </c>
      <c r="W373" s="19">
        <v>0</v>
      </c>
      <c r="X373">
        <v>0</v>
      </c>
      <c r="Y373" s="19">
        <v>0</v>
      </c>
      <c r="Z373">
        <v>0</v>
      </c>
      <c r="AA373" s="19">
        <v>0</v>
      </c>
      <c r="AB373">
        <v>1</v>
      </c>
      <c r="AC373" s="19">
        <v>960</v>
      </c>
      <c r="AD373">
        <v>0</v>
      </c>
      <c r="AE373" s="19">
        <v>0</v>
      </c>
      <c r="AF373">
        <v>0</v>
      </c>
      <c r="AG373" s="19">
        <v>0</v>
      </c>
      <c r="AH373">
        <v>1</v>
      </c>
      <c r="AI373" s="19">
        <v>224</v>
      </c>
      <c r="AJ373">
        <v>1</v>
      </c>
      <c r="AK373" s="19">
        <v>112</v>
      </c>
      <c r="AL373">
        <v>1</v>
      </c>
      <c r="AM373" s="19">
        <v>224</v>
      </c>
      <c r="AN373">
        <v>1</v>
      </c>
      <c r="AO373" s="19">
        <v>240</v>
      </c>
      <c r="AP373">
        <v>1</v>
      </c>
      <c r="AQ373" s="19">
        <v>400</v>
      </c>
    </row>
    <row r="374" spans="1:43" x14ac:dyDescent="0.35">
      <c r="A374" s="18">
        <v>45662</v>
      </c>
      <c r="B374" t="s">
        <v>62</v>
      </c>
      <c r="C374" t="s">
        <v>61</v>
      </c>
      <c r="D374">
        <v>7</v>
      </c>
      <c r="E374">
        <v>2</v>
      </c>
      <c r="F374">
        <v>5</v>
      </c>
      <c r="G374" s="19">
        <v>3618</v>
      </c>
      <c r="H374" s="19">
        <v>2510</v>
      </c>
      <c r="I374" s="19">
        <v>1108</v>
      </c>
      <c r="J374" s="19">
        <v>232</v>
      </c>
      <c r="K374" s="19">
        <v>97</v>
      </c>
      <c r="L374" s="19">
        <v>806</v>
      </c>
      <c r="M374" s="19">
        <v>80</v>
      </c>
      <c r="N374" s="19">
        <v>57</v>
      </c>
      <c r="O374" s="19">
        <f t="shared" si="10"/>
        <v>1272</v>
      </c>
      <c r="P374" s="19">
        <f t="shared" si="11"/>
        <v>2346</v>
      </c>
      <c r="Q374" t="s">
        <v>23</v>
      </c>
      <c r="R374" t="s">
        <v>55</v>
      </c>
      <c r="T374">
        <v>1</v>
      </c>
      <c r="U374" s="19">
        <v>1624</v>
      </c>
      <c r="V374">
        <v>0</v>
      </c>
      <c r="W374" s="19">
        <v>0</v>
      </c>
      <c r="X374">
        <v>0</v>
      </c>
      <c r="Y374" s="19">
        <v>0</v>
      </c>
      <c r="Z374">
        <v>0</v>
      </c>
      <c r="AA374" s="19">
        <v>0</v>
      </c>
      <c r="AB374">
        <v>1</v>
      </c>
      <c r="AC374" s="19">
        <v>886</v>
      </c>
      <c r="AD374">
        <v>0</v>
      </c>
      <c r="AE374" s="19">
        <v>0</v>
      </c>
      <c r="AF374">
        <v>0</v>
      </c>
      <c r="AG374" s="19">
        <v>0</v>
      </c>
      <c r="AH374">
        <v>1</v>
      </c>
      <c r="AI374" s="19">
        <v>207</v>
      </c>
      <c r="AJ374">
        <v>1</v>
      </c>
      <c r="AK374" s="19">
        <v>103</v>
      </c>
      <c r="AL374">
        <v>1</v>
      </c>
      <c r="AM374" s="19">
        <v>207</v>
      </c>
      <c r="AN374">
        <v>1</v>
      </c>
      <c r="AO374" s="19">
        <v>222</v>
      </c>
      <c r="AP374">
        <v>1</v>
      </c>
      <c r="AQ374" s="19">
        <v>369</v>
      </c>
    </row>
    <row r="375" spans="1:43" x14ac:dyDescent="0.35">
      <c r="A375" s="18">
        <v>45663</v>
      </c>
      <c r="B375" t="s">
        <v>52</v>
      </c>
      <c r="C375" t="s">
        <v>53</v>
      </c>
      <c r="D375">
        <v>5</v>
      </c>
      <c r="E375">
        <v>1</v>
      </c>
      <c r="F375">
        <v>4</v>
      </c>
      <c r="G375" s="19">
        <v>2563</v>
      </c>
      <c r="H375" s="19">
        <v>1762</v>
      </c>
      <c r="I375" s="19">
        <v>801</v>
      </c>
      <c r="J375" s="19">
        <v>232</v>
      </c>
      <c r="K375" s="19">
        <v>97</v>
      </c>
      <c r="L375" s="19">
        <v>806</v>
      </c>
      <c r="M375" s="19">
        <v>57</v>
      </c>
      <c r="N375" s="19">
        <v>40</v>
      </c>
      <c r="O375" s="19">
        <f t="shared" si="10"/>
        <v>1232</v>
      </c>
      <c r="P375" s="19">
        <f t="shared" si="11"/>
        <v>1331</v>
      </c>
      <c r="Q375" t="s">
        <v>23</v>
      </c>
      <c r="R375" t="s">
        <v>55</v>
      </c>
      <c r="T375">
        <v>1</v>
      </c>
      <c r="U375" s="19">
        <v>1762</v>
      </c>
      <c r="V375">
        <v>0</v>
      </c>
      <c r="W375" s="19">
        <v>0</v>
      </c>
      <c r="X375">
        <v>0</v>
      </c>
      <c r="Y375" s="19">
        <v>0</v>
      </c>
      <c r="Z375">
        <v>0</v>
      </c>
      <c r="AA375" s="19">
        <v>0</v>
      </c>
      <c r="AB375">
        <v>0</v>
      </c>
      <c r="AC375" s="19">
        <v>0</v>
      </c>
      <c r="AD375">
        <v>0</v>
      </c>
      <c r="AE375" s="19">
        <v>0</v>
      </c>
      <c r="AF375">
        <v>0</v>
      </c>
      <c r="AG375" s="19">
        <v>0</v>
      </c>
      <c r="AH375">
        <v>1</v>
      </c>
      <c r="AI375" s="19">
        <v>224</v>
      </c>
      <c r="AJ375">
        <v>1</v>
      </c>
      <c r="AK375" s="19">
        <v>112</v>
      </c>
      <c r="AL375">
        <v>1</v>
      </c>
      <c r="AM375" s="19">
        <v>224</v>
      </c>
      <c r="AN375">
        <v>1</v>
      </c>
      <c r="AO375" s="19">
        <v>240</v>
      </c>
      <c r="AP375">
        <v>0</v>
      </c>
      <c r="AQ375" s="19">
        <v>0</v>
      </c>
    </row>
    <row r="376" spans="1:43" x14ac:dyDescent="0.35">
      <c r="A376" s="18">
        <v>45664</v>
      </c>
      <c r="B376" t="s">
        <v>56</v>
      </c>
      <c r="C376" t="s">
        <v>53</v>
      </c>
      <c r="D376">
        <v>5</v>
      </c>
      <c r="E376">
        <v>1</v>
      </c>
      <c r="F376">
        <v>4</v>
      </c>
      <c r="G376" s="19">
        <v>2714</v>
      </c>
      <c r="H376" s="19">
        <v>1866</v>
      </c>
      <c r="I376" s="19">
        <v>848</v>
      </c>
      <c r="J376" s="19">
        <v>232</v>
      </c>
      <c r="K376" s="19">
        <v>97</v>
      </c>
      <c r="L376" s="19">
        <v>806</v>
      </c>
      <c r="M376" s="19">
        <v>60</v>
      </c>
      <c r="N376" s="19">
        <v>40</v>
      </c>
      <c r="O376" s="19">
        <f t="shared" si="10"/>
        <v>1235</v>
      </c>
      <c r="P376" s="19">
        <f t="shared" si="11"/>
        <v>1479</v>
      </c>
      <c r="Q376" t="s">
        <v>23</v>
      </c>
      <c r="R376" t="s">
        <v>55</v>
      </c>
      <c r="T376">
        <v>1</v>
      </c>
      <c r="U376" s="19">
        <v>1866</v>
      </c>
      <c r="V376">
        <v>0</v>
      </c>
      <c r="W376" s="19">
        <v>0</v>
      </c>
      <c r="X376">
        <v>0</v>
      </c>
      <c r="Y376" s="19">
        <v>0</v>
      </c>
      <c r="Z376">
        <v>0</v>
      </c>
      <c r="AA376" s="19">
        <v>0</v>
      </c>
      <c r="AB376">
        <v>0</v>
      </c>
      <c r="AC376" s="19">
        <v>0</v>
      </c>
      <c r="AD376">
        <v>0</v>
      </c>
      <c r="AE376" s="19">
        <v>0</v>
      </c>
      <c r="AF376">
        <v>0</v>
      </c>
      <c r="AG376" s="19">
        <v>0</v>
      </c>
      <c r="AH376">
        <v>1</v>
      </c>
      <c r="AI376" s="19">
        <v>237</v>
      </c>
      <c r="AJ376">
        <v>1</v>
      </c>
      <c r="AK376" s="19">
        <v>119</v>
      </c>
      <c r="AL376">
        <v>1</v>
      </c>
      <c r="AM376" s="19">
        <v>237</v>
      </c>
      <c r="AN376">
        <v>1</v>
      </c>
      <c r="AO376" s="19">
        <v>254</v>
      </c>
      <c r="AP376">
        <v>0</v>
      </c>
      <c r="AQ376" s="19">
        <v>0</v>
      </c>
    </row>
    <row r="377" spans="1:43" x14ac:dyDescent="0.35">
      <c r="A377" s="18">
        <v>45665</v>
      </c>
      <c r="B377" t="s">
        <v>57</v>
      </c>
      <c r="C377" t="s">
        <v>53</v>
      </c>
      <c r="D377">
        <v>5</v>
      </c>
      <c r="E377">
        <v>1</v>
      </c>
      <c r="F377">
        <v>4</v>
      </c>
      <c r="G377" s="19">
        <v>2865</v>
      </c>
      <c r="H377" s="19">
        <v>1970</v>
      </c>
      <c r="I377" s="19">
        <v>895</v>
      </c>
      <c r="J377" s="19">
        <v>232</v>
      </c>
      <c r="K377" s="19">
        <v>97</v>
      </c>
      <c r="L377" s="19">
        <v>806</v>
      </c>
      <c r="M377" s="19">
        <v>63</v>
      </c>
      <c r="N377" s="19">
        <v>40</v>
      </c>
      <c r="O377" s="19">
        <f t="shared" si="10"/>
        <v>1238</v>
      </c>
      <c r="P377" s="19">
        <f t="shared" si="11"/>
        <v>1627</v>
      </c>
      <c r="Q377" t="s">
        <v>23</v>
      </c>
      <c r="R377" t="s">
        <v>55</v>
      </c>
      <c r="T377">
        <v>1</v>
      </c>
      <c r="U377" s="19">
        <v>1970</v>
      </c>
      <c r="V377">
        <v>0</v>
      </c>
      <c r="W377" s="19">
        <v>0</v>
      </c>
      <c r="X377">
        <v>0</v>
      </c>
      <c r="Y377" s="19">
        <v>0</v>
      </c>
      <c r="Z377">
        <v>0</v>
      </c>
      <c r="AA377" s="19">
        <v>0</v>
      </c>
      <c r="AB377">
        <v>0</v>
      </c>
      <c r="AC377" s="19">
        <v>0</v>
      </c>
      <c r="AD377">
        <v>0</v>
      </c>
      <c r="AE377" s="19">
        <v>0</v>
      </c>
      <c r="AF377">
        <v>0</v>
      </c>
      <c r="AG377" s="19">
        <v>0</v>
      </c>
      <c r="AH377">
        <v>1</v>
      </c>
      <c r="AI377" s="19">
        <v>251</v>
      </c>
      <c r="AJ377">
        <v>1</v>
      </c>
      <c r="AK377" s="19">
        <v>125</v>
      </c>
      <c r="AL377">
        <v>1</v>
      </c>
      <c r="AM377" s="19">
        <v>251</v>
      </c>
      <c r="AN377">
        <v>1</v>
      </c>
      <c r="AO377" s="19">
        <v>269</v>
      </c>
      <c r="AP377">
        <v>0</v>
      </c>
      <c r="AQ377" s="19">
        <v>0</v>
      </c>
    </row>
    <row r="378" spans="1:43" x14ac:dyDescent="0.35">
      <c r="A378" s="18">
        <v>45666</v>
      </c>
      <c r="B378" t="s">
        <v>58</v>
      </c>
      <c r="C378" t="s">
        <v>53</v>
      </c>
      <c r="D378">
        <v>6</v>
      </c>
      <c r="E378">
        <v>1</v>
      </c>
      <c r="F378">
        <v>5</v>
      </c>
      <c r="G378" s="19">
        <v>3015</v>
      </c>
      <c r="H378" s="19">
        <v>1340</v>
      </c>
      <c r="I378" s="19">
        <v>1675</v>
      </c>
      <c r="J378" s="19">
        <v>232</v>
      </c>
      <c r="K378" s="19">
        <v>97</v>
      </c>
      <c r="L378" s="19">
        <v>806</v>
      </c>
      <c r="M378" s="19">
        <v>66</v>
      </c>
      <c r="N378" s="19">
        <v>49</v>
      </c>
      <c r="O378" s="19">
        <f t="shared" si="10"/>
        <v>1250</v>
      </c>
      <c r="P378" s="19">
        <f t="shared" si="11"/>
        <v>1765</v>
      </c>
      <c r="Q378" t="s">
        <v>27</v>
      </c>
      <c r="R378" t="s">
        <v>55</v>
      </c>
      <c r="T378">
        <v>0</v>
      </c>
      <c r="U378" s="19">
        <v>0</v>
      </c>
      <c r="V378">
        <v>0</v>
      </c>
      <c r="W378" s="19">
        <v>0</v>
      </c>
      <c r="X378">
        <v>0</v>
      </c>
      <c r="Y378" s="19">
        <v>0</v>
      </c>
      <c r="Z378">
        <v>0</v>
      </c>
      <c r="AA378" s="19">
        <v>0</v>
      </c>
      <c r="AB378">
        <v>1</v>
      </c>
      <c r="AC378" s="19">
        <v>1340</v>
      </c>
      <c r="AD378">
        <v>0</v>
      </c>
      <c r="AE378" s="19">
        <v>0</v>
      </c>
      <c r="AF378">
        <v>0</v>
      </c>
      <c r="AG378" s="19">
        <v>0</v>
      </c>
      <c r="AH378">
        <v>1</v>
      </c>
      <c r="AI378" s="19">
        <v>313</v>
      </c>
      <c r="AJ378">
        <v>1</v>
      </c>
      <c r="AK378" s="19">
        <v>156</v>
      </c>
      <c r="AL378">
        <v>1</v>
      </c>
      <c r="AM378" s="19">
        <v>313</v>
      </c>
      <c r="AN378">
        <v>1</v>
      </c>
      <c r="AO378" s="19">
        <v>335</v>
      </c>
      <c r="AP378">
        <v>1</v>
      </c>
      <c r="AQ378" s="19">
        <v>558</v>
      </c>
    </row>
    <row r="379" spans="1:43" x14ac:dyDescent="0.35">
      <c r="A379" s="18">
        <v>45667</v>
      </c>
      <c r="B379" t="s">
        <v>59</v>
      </c>
      <c r="C379" t="s">
        <v>53</v>
      </c>
      <c r="D379">
        <v>6</v>
      </c>
      <c r="E379">
        <v>2</v>
      </c>
      <c r="F379">
        <v>4</v>
      </c>
      <c r="G379" s="19">
        <v>3166</v>
      </c>
      <c r="H379" s="19">
        <v>2446</v>
      </c>
      <c r="I379" s="19">
        <v>720</v>
      </c>
      <c r="J379" s="19">
        <v>232</v>
      </c>
      <c r="K379" s="19">
        <v>97</v>
      </c>
      <c r="L379" s="19">
        <v>806</v>
      </c>
      <c r="M379" s="19">
        <v>70</v>
      </c>
      <c r="N379" s="19">
        <v>49</v>
      </c>
      <c r="O379" s="19">
        <f t="shared" si="10"/>
        <v>1254</v>
      </c>
      <c r="P379" s="19">
        <f t="shared" si="11"/>
        <v>1912</v>
      </c>
      <c r="Q379" t="s">
        <v>23</v>
      </c>
      <c r="R379" t="s">
        <v>55</v>
      </c>
      <c r="T379">
        <v>1</v>
      </c>
      <c r="U379" s="19">
        <v>1583</v>
      </c>
      <c r="V379">
        <v>0</v>
      </c>
      <c r="W379" s="19">
        <v>0</v>
      </c>
      <c r="X379">
        <v>0</v>
      </c>
      <c r="Y379" s="19">
        <v>0</v>
      </c>
      <c r="Z379">
        <v>0</v>
      </c>
      <c r="AA379" s="19">
        <v>0</v>
      </c>
      <c r="AB379">
        <v>1</v>
      </c>
      <c r="AC379" s="19">
        <v>863</v>
      </c>
      <c r="AD379">
        <v>0</v>
      </c>
      <c r="AE379" s="19">
        <v>0</v>
      </c>
      <c r="AF379">
        <v>0</v>
      </c>
      <c r="AG379" s="19">
        <v>0</v>
      </c>
      <c r="AH379">
        <v>1</v>
      </c>
      <c r="AI379" s="19">
        <v>201</v>
      </c>
      <c r="AJ379">
        <v>1</v>
      </c>
      <c r="AK379" s="19">
        <v>101</v>
      </c>
      <c r="AL379">
        <v>1</v>
      </c>
      <c r="AM379" s="19">
        <v>201</v>
      </c>
      <c r="AN379">
        <v>1</v>
      </c>
      <c r="AO379" s="19">
        <v>216</v>
      </c>
      <c r="AP379">
        <v>0</v>
      </c>
      <c r="AQ379" s="19">
        <v>0</v>
      </c>
    </row>
    <row r="380" spans="1:43" x14ac:dyDescent="0.35">
      <c r="A380" s="18">
        <v>45668</v>
      </c>
      <c r="B380" t="s">
        <v>60</v>
      </c>
      <c r="C380" t="s">
        <v>61</v>
      </c>
      <c r="D380">
        <v>7</v>
      </c>
      <c r="E380">
        <v>2</v>
      </c>
      <c r="F380">
        <v>5</v>
      </c>
      <c r="G380" s="19">
        <v>3920</v>
      </c>
      <c r="H380" s="19">
        <v>2720</v>
      </c>
      <c r="I380" s="19">
        <v>1200</v>
      </c>
      <c r="J380" s="19">
        <v>232</v>
      </c>
      <c r="K380" s="19">
        <v>97</v>
      </c>
      <c r="L380" s="19">
        <v>806</v>
      </c>
      <c r="M380" s="19">
        <v>86</v>
      </c>
      <c r="N380" s="19">
        <v>57</v>
      </c>
      <c r="O380" s="19">
        <f t="shared" si="10"/>
        <v>1278</v>
      </c>
      <c r="P380" s="19">
        <f t="shared" si="11"/>
        <v>2642</v>
      </c>
      <c r="Q380" t="s">
        <v>23</v>
      </c>
      <c r="R380" t="s">
        <v>55</v>
      </c>
      <c r="T380">
        <v>1</v>
      </c>
      <c r="U380" s="19">
        <v>1760</v>
      </c>
      <c r="V380">
        <v>0</v>
      </c>
      <c r="W380" s="19">
        <v>0</v>
      </c>
      <c r="X380">
        <v>0</v>
      </c>
      <c r="Y380" s="19">
        <v>0</v>
      </c>
      <c r="Z380">
        <v>0</v>
      </c>
      <c r="AA380" s="19">
        <v>0</v>
      </c>
      <c r="AB380">
        <v>1</v>
      </c>
      <c r="AC380" s="19">
        <v>960</v>
      </c>
      <c r="AD380">
        <v>0</v>
      </c>
      <c r="AE380" s="19">
        <v>0</v>
      </c>
      <c r="AF380">
        <v>0</v>
      </c>
      <c r="AG380" s="19">
        <v>0</v>
      </c>
      <c r="AH380">
        <v>1</v>
      </c>
      <c r="AI380" s="19">
        <v>224</v>
      </c>
      <c r="AJ380">
        <v>1</v>
      </c>
      <c r="AK380" s="19">
        <v>112</v>
      </c>
      <c r="AL380">
        <v>1</v>
      </c>
      <c r="AM380" s="19">
        <v>224</v>
      </c>
      <c r="AN380">
        <v>1</v>
      </c>
      <c r="AO380" s="19">
        <v>240</v>
      </c>
      <c r="AP380">
        <v>1</v>
      </c>
      <c r="AQ380" s="19">
        <v>400</v>
      </c>
    </row>
    <row r="381" spans="1:43" x14ac:dyDescent="0.35">
      <c r="A381" s="18">
        <v>45669</v>
      </c>
      <c r="B381" t="s">
        <v>62</v>
      </c>
      <c r="C381" t="s">
        <v>61</v>
      </c>
      <c r="D381">
        <v>7</v>
      </c>
      <c r="E381">
        <v>3</v>
      </c>
      <c r="F381">
        <v>4</v>
      </c>
      <c r="G381" s="19">
        <v>3618</v>
      </c>
      <c r="H381" s="19">
        <v>3015</v>
      </c>
      <c r="I381" s="19">
        <v>603</v>
      </c>
      <c r="J381" s="19">
        <v>232</v>
      </c>
      <c r="K381" s="19">
        <v>97</v>
      </c>
      <c r="L381" s="19">
        <v>806</v>
      </c>
      <c r="M381" s="19">
        <v>80</v>
      </c>
      <c r="N381" s="19">
        <v>57</v>
      </c>
      <c r="O381" s="19">
        <f t="shared" si="10"/>
        <v>1272</v>
      </c>
      <c r="P381" s="19">
        <f t="shared" si="11"/>
        <v>2346</v>
      </c>
      <c r="Q381" t="s">
        <v>23</v>
      </c>
      <c r="R381" t="s">
        <v>55</v>
      </c>
      <c r="T381">
        <v>1</v>
      </c>
      <c r="U381" s="19">
        <v>1327</v>
      </c>
      <c r="V381">
        <v>0</v>
      </c>
      <c r="W381" s="19">
        <v>0</v>
      </c>
      <c r="X381">
        <v>0</v>
      </c>
      <c r="Y381" s="19">
        <v>0</v>
      </c>
      <c r="Z381">
        <v>1</v>
      </c>
      <c r="AA381" s="19">
        <v>965</v>
      </c>
      <c r="AB381">
        <v>1</v>
      </c>
      <c r="AC381" s="19">
        <v>724</v>
      </c>
      <c r="AD381">
        <v>0</v>
      </c>
      <c r="AE381" s="19">
        <v>0</v>
      </c>
      <c r="AF381">
        <v>0</v>
      </c>
      <c r="AG381" s="19">
        <v>0</v>
      </c>
      <c r="AH381">
        <v>1</v>
      </c>
      <c r="AI381" s="19">
        <v>169</v>
      </c>
      <c r="AJ381">
        <v>1</v>
      </c>
      <c r="AK381" s="19">
        <v>84</v>
      </c>
      <c r="AL381">
        <v>1</v>
      </c>
      <c r="AM381" s="19">
        <v>169</v>
      </c>
      <c r="AN381">
        <v>1</v>
      </c>
      <c r="AO381" s="19">
        <v>181</v>
      </c>
      <c r="AP381">
        <v>0</v>
      </c>
      <c r="AQ381" s="19">
        <v>0</v>
      </c>
    </row>
    <row r="382" spans="1:43" x14ac:dyDescent="0.35">
      <c r="A382" s="18">
        <v>45670</v>
      </c>
      <c r="B382" t="s">
        <v>52</v>
      </c>
      <c r="C382" t="s">
        <v>53</v>
      </c>
      <c r="D382">
        <v>5</v>
      </c>
      <c r="E382">
        <v>1</v>
      </c>
      <c r="F382">
        <v>4</v>
      </c>
      <c r="G382" s="19">
        <v>2563</v>
      </c>
      <c r="H382" s="19">
        <v>1762</v>
      </c>
      <c r="I382" s="19">
        <v>801</v>
      </c>
      <c r="J382" s="19">
        <v>232</v>
      </c>
      <c r="K382" s="19">
        <v>97</v>
      </c>
      <c r="L382" s="19">
        <v>806</v>
      </c>
      <c r="M382" s="19">
        <v>57</v>
      </c>
      <c r="N382" s="19">
        <v>40</v>
      </c>
      <c r="O382" s="19">
        <f t="shared" si="10"/>
        <v>1232</v>
      </c>
      <c r="P382" s="19">
        <f t="shared" si="11"/>
        <v>1331</v>
      </c>
      <c r="Q382" t="s">
        <v>23</v>
      </c>
      <c r="R382" t="s">
        <v>55</v>
      </c>
      <c r="T382">
        <v>1</v>
      </c>
      <c r="U382" s="19">
        <v>1762</v>
      </c>
      <c r="V382">
        <v>0</v>
      </c>
      <c r="W382" s="19">
        <v>0</v>
      </c>
      <c r="X382">
        <v>0</v>
      </c>
      <c r="Y382" s="19">
        <v>0</v>
      </c>
      <c r="Z382">
        <v>0</v>
      </c>
      <c r="AA382" s="19">
        <v>0</v>
      </c>
      <c r="AB382">
        <v>0</v>
      </c>
      <c r="AC382" s="19">
        <v>0</v>
      </c>
      <c r="AD382">
        <v>0</v>
      </c>
      <c r="AE382" s="19">
        <v>0</v>
      </c>
      <c r="AF382">
        <v>0</v>
      </c>
      <c r="AG382" s="19">
        <v>0</v>
      </c>
      <c r="AH382">
        <v>1</v>
      </c>
      <c r="AI382" s="19">
        <v>224</v>
      </c>
      <c r="AJ382">
        <v>1</v>
      </c>
      <c r="AK382" s="19">
        <v>112</v>
      </c>
      <c r="AL382">
        <v>1</v>
      </c>
      <c r="AM382" s="19">
        <v>224</v>
      </c>
      <c r="AN382">
        <v>1</v>
      </c>
      <c r="AO382" s="19">
        <v>240</v>
      </c>
      <c r="AP382">
        <v>0</v>
      </c>
      <c r="AQ382" s="19">
        <v>0</v>
      </c>
    </row>
    <row r="383" spans="1:43" x14ac:dyDescent="0.35">
      <c r="A383" s="18">
        <v>45671</v>
      </c>
      <c r="B383" t="s">
        <v>56</v>
      </c>
      <c r="C383" t="s">
        <v>53</v>
      </c>
      <c r="D383">
        <v>5</v>
      </c>
      <c r="E383">
        <v>0</v>
      </c>
      <c r="F383">
        <v>5</v>
      </c>
      <c r="G383" s="19">
        <v>2714</v>
      </c>
      <c r="H383" s="19">
        <v>0</v>
      </c>
      <c r="I383" s="19">
        <v>2714</v>
      </c>
      <c r="J383" s="19">
        <v>232</v>
      </c>
      <c r="K383" s="19">
        <v>97</v>
      </c>
      <c r="L383" s="19">
        <v>806</v>
      </c>
      <c r="M383" s="19">
        <v>60</v>
      </c>
      <c r="N383" s="19">
        <v>40</v>
      </c>
      <c r="O383" s="19">
        <f t="shared" si="10"/>
        <v>1235</v>
      </c>
      <c r="P383" s="19">
        <f t="shared" si="11"/>
        <v>1479</v>
      </c>
      <c r="Q383" t="s">
        <v>34</v>
      </c>
      <c r="R383" t="s">
        <v>55</v>
      </c>
      <c r="T383">
        <v>0</v>
      </c>
      <c r="U383" s="19">
        <v>0</v>
      </c>
      <c r="V383">
        <v>0</v>
      </c>
      <c r="W383" s="19">
        <v>0</v>
      </c>
      <c r="X383">
        <v>0</v>
      </c>
      <c r="Y383" s="19">
        <v>0</v>
      </c>
      <c r="Z383">
        <v>0</v>
      </c>
      <c r="AA383" s="19">
        <v>0</v>
      </c>
      <c r="AB383">
        <v>0</v>
      </c>
      <c r="AC383" s="19">
        <v>0</v>
      </c>
      <c r="AD383">
        <v>0</v>
      </c>
      <c r="AE383" s="19">
        <v>0</v>
      </c>
      <c r="AF383">
        <v>0</v>
      </c>
      <c r="AG383" s="19">
        <v>0</v>
      </c>
      <c r="AH383">
        <v>1</v>
      </c>
      <c r="AI383" s="19">
        <v>507</v>
      </c>
      <c r="AJ383">
        <v>1</v>
      </c>
      <c r="AK383" s="19">
        <v>253</v>
      </c>
      <c r="AL383">
        <v>1</v>
      </c>
      <c r="AM383" s="19">
        <v>507</v>
      </c>
      <c r="AN383">
        <v>1</v>
      </c>
      <c r="AO383" s="19">
        <v>543</v>
      </c>
      <c r="AP383">
        <v>1</v>
      </c>
      <c r="AQ383" s="19">
        <v>905</v>
      </c>
    </row>
    <row r="384" spans="1:43" x14ac:dyDescent="0.35">
      <c r="A384" s="18">
        <v>45672</v>
      </c>
      <c r="B384" t="s">
        <v>57</v>
      </c>
      <c r="C384" t="s">
        <v>53</v>
      </c>
      <c r="D384">
        <v>5</v>
      </c>
      <c r="E384">
        <v>1</v>
      </c>
      <c r="F384">
        <v>4</v>
      </c>
      <c r="G384" s="19">
        <v>2865</v>
      </c>
      <c r="H384" s="19">
        <v>1563</v>
      </c>
      <c r="I384" s="19">
        <v>1302</v>
      </c>
      <c r="J384" s="19">
        <v>232</v>
      </c>
      <c r="K384" s="19">
        <v>97</v>
      </c>
      <c r="L384" s="19">
        <v>806</v>
      </c>
      <c r="M384" s="19">
        <v>63</v>
      </c>
      <c r="N384" s="19">
        <v>40</v>
      </c>
      <c r="O384" s="19">
        <f t="shared" si="10"/>
        <v>1238</v>
      </c>
      <c r="P384" s="19">
        <f t="shared" si="11"/>
        <v>1627</v>
      </c>
      <c r="Q384" t="s">
        <v>27</v>
      </c>
      <c r="R384" t="s">
        <v>55</v>
      </c>
      <c r="T384">
        <v>0</v>
      </c>
      <c r="U384" s="19">
        <v>0</v>
      </c>
      <c r="V384">
        <v>0</v>
      </c>
      <c r="W384" s="19">
        <v>0</v>
      </c>
      <c r="X384">
        <v>0</v>
      </c>
      <c r="Y384" s="19">
        <v>0</v>
      </c>
      <c r="Z384">
        <v>0</v>
      </c>
      <c r="AA384" s="19">
        <v>0</v>
      </c>
      <c r="AB384">
        <v>1</v>
      </c>
      <c r="AC384" s="19">
        <v>1563</v>
      </c>
      <c r="AD384">
        <v>0</v>
      </c>
      <c r="AE384" s="19">
        <v>0</v>
      </c>
      <c r="AF384">
        <v>0</v>
      </c>
      <c r="AG384" s="19">
        <v>0</v>
      </c>
      <c r="AH384">
        <v>1</v>
      </c>
      <c r="AI384" s="19">
        <v>365</v>
      </c>
      <c r="AJ384">
        <v>1</v>
      </c>
      <c r="AK384" s="19">
        <v>182</v>
      </c>
      <c r="AL384">
        <v>1</v>
      </c>
      <c r="AM384" s="19">
        <v>365</v>
      </c>
      <c r="AN384">
        <v>1</v>
      </c>
      <c r="AO384" s="19">
        <v>391</v>
      </c>
      <c r="AP384">
        <v>0</v>
      </c>
      <c r="AQ384" s="19">
        <v>0</v>
      </c>
    </row>
    <row r="385" spans="1:43" x14ac:dyDescent="0.35">
      <c r="A385" s="18">
        <v>45673</v>
      </c>
      <c r="B385" t="s">
        <v>58</v>
      </c>
      <c r="C385" t="s">
        <v>53</v>
      </c>
      <c r="D385">
        <v>6</v>
      </c>
      <c r="E385">
        <v>2</v>
      </c>
      <c r="F385">
        <v>4</v>
      </c>
      <c r="G385" s="19">
        <v>3015</v>
      </c>
      <c r="H385" s="19">
        <v>2330</v>
      </c>
      <c r="I385" s="19">
        <v>685</v>
      </c>
      <c r="J385" s="19">
        <v>232</v>
      </c>
      <c r="K385" s="19">
        <v>97</v>
      </c>
      <c r="L385" s="19">
        <v>806</v>
      </c>
      <c r="M385" s="19">
        <v>66</v>
      </c>
      <c r="N385" s="19">
        <v>49</v>
      </c>
      <c r="O385" s="19">
        <f t="shared" si="10"/>
        <v>1250</v>
      </c>
      <c r="P385" s="19">
        <f t="shared" si="11"/>
        <v>1765</v>
      </c>
      <c r="Q385" t="s">
        <v>23</v>
      </c>
      <c r="R385" t="s">
        <v>55</v>
      </c>
      <c r="T385">
        <v>1</v>
      </c>
      <c r="U385" s="19">
        <v>1508</v>
      </c>
      <c r="V385">
        <v>0</v>
      </c>
      <c r="W385" s="19">
        <v>0</v>
      </c>
      <c r="X385">
        <v>0</v>
      </c>
      <c r="Y385" s="19">
        <v>0</v>
      </c>
      <c r="Z385">
        <v>0</v>
      </c>
      <c r="AA385" s="19">
        <v>0</v>
      </c>
      <c r="AB385">
        <v>1</v>
      </c>
      <c r="AC385" s="19">
        <v>822</v>
      </c>
      <c r="AD385">
        <v>0</v>
      </c>
      <c r="AE385" s="19">
        <v>0</v>
      </c>
      <c r="AF385">
        <v>0</v>
      </c>
      <c r="AG385" s="19">
        <v>0</v>
      </c>
      <c r="AH385">
        <v>1</v>
      </c>
      <c r="AI385" s="19">
        <v>192</v>
      </c>
      <c r="AJ385">
        <v>1</v>
      </c>
      <c r="AK385" s="19">
        <v>96</v>
      </c>
      <c r="AL385">
        <v>1</v>
      </c>
      <c r="AM385" s="19">
        <v>192</v>
      </c>
      <c r="AN385">
        <v>1</v>
      </c>
      <c r="AO385" s="19">
        <v>206</v>
      </c>
      <c r="AP385">
        <v>0</v>
      </c>
      <c r="AQ385" s="19">
        <v>0</v>
      </c>
    </row>
    <row r="386" spans="1:43" x14ac:dyDescent="0.35">
      <c r="A386" s="18">
        <v>45674</v>
      </c>
      <c r="B386" t="s">
        <v>59</v>
      </c>
      <c r="C386" t="s">
        <v>53</v>
      </c>
      <c r="D386">
        <v>6</v>
      </c>
      <c r="E386">
        <v>1</v>
      </c>
      <c r="F386">
        <v>5</v>
      </c>
      <c r="G386" s="19">
        <v>3166</v>
      </c>
      <c r="H386" s="19">
        <v>1407</v>
      </c>
      <c r="I386" s="19">
        <v>1759</v>
      </c>
      <c r="J386" s="19">
        <v>232</v>
      </c>
      <c r="K386" s="19">
        <v>97</v>
      </c>
      <c r="L386" s="19">
        <v>806</v>
      </c>
      <c r="M386" s="19">
        <v>70</v>
      </c>
      <c r="N386" s="19">
        <v>49</v>
      </c>
      <c r="O386" s="19">
        <f t="shared" si="10"/>
        <v>1254</v>
      </c>
      <c r="P386" s="19">
        <f t="shared" si="11"/>
        <v>1912</v>
      </c>
      <c r="Q386" t="s">
        <v>27</v>
      </c>
      <c r="R386" t="s">
        <v>55</v>
      </c>
      <c r="T386">
        <v>0</v>
      </c>
      <c r="U386" s="19">
        <v>0</v>
      </c>
      <c r="V386">
        <v>0</v>
      </c>
      <c r="W386" s="19">
        <v>0</v>
      </c>
      <c r="X386">
        <v>0</v>
      </c>
      <c r="Y386" s="19">
        <v>0</v>
      </c>
      <c r="Z386">
        <v>0</v>
      </c>
      <c r="AA386" s="19">
        <v>0</v>
      </c>
      <c r="AB386">
        <v>1</v>
      </c>
      <c r="AC386" s="19">
        <v>1407</v>
      </c>
      <c r="AD386">
        <v>0</v>
      </c>
      <c r="AE386" s="19">
        <v>0</v>
      </c>
      <c r="AF386">
        <v>0</v>
      </c>
      <c r="AG386" s="19">
        <v>0</v>
      </c>
      <c r="AH386">
        <v>1</v>
      </c>
      <c r="AI386" s="19">
        <v>328</v>
      </c>
      <c r="AJ386">
        <v>1</v>
      </c>
      <c r="AK386" s="19">
        <v>164</v>
      </c>
      <c r="AL386">
        <v>1</v>
      </c>
      <c r="AM386" s="19">
        <v>328</v>
      </c>
      <c r="AN386">
        <v>1</v>
      </c>
      <c r="AO386" s="19">
        <v>352</v>
      </c>
      <c r="AP386">
        <v>1</v>
      </c>
      <c r="AQ386" s="19">
        <v>586</v>
      </c>
    </row>
    <row r="387" spans="1:43" x14ac:dyDescent="0.35">
      <c r="A387" s="18">
        <v>45675</v>
      </c>
      <c r="B387" t="s">
        <v>60</v>
      </c>
      <c r="C387" t="s">
        <v>61</v>
      </c>
      <c r="D387">
        <v>7</v>
      </c>
      <c r="E387">
        <v>2</v>
      </c>
      <c r="F387">
        <v>5</v>
      </c>
      <c r="G387" s="19">
        <v>3920</v>
      </c>
      <c r="H387" s="19">
        <v>2720</v>
      </c>
      <c r="I387" s="19">
        <v>1200</v>
      </c>
      <c r="J387" s="19">
        <v>232</v>
      </c>
      <c r="K387" s="19">
        <v>97</v>
      </c>
      <c r="L387" s="19">
        <v>806</v>
      </c>
      <c r="M387" s="19">
        <v>86</v>
      </c>
      <c r="N387" s="19">
        <v>57</v>
      </c>
      <c r="O387" s="19">
        <f t="shared" si="10"/>
        <v>1278</v>
      </c>
      <c r="P387" s="19">
        <f t="shared" si="11"/>
        <v>2642</v>
      </c>
      <c r="Q387" t="s">
        <v>23</v>
      </c>
      <c r="R387" t="s">
        <v>55</v>
      </c>
      <c r="T387">
        <v>1</v>
      </c>
      <c r="U387" s="19">
        <v>1760</v>
      </c>
      <c r="V387">
        <v>0</v>
      </c>
      <c r="W387" s="19">
        <v>0</v>
      </c>
      <c r="X387">
        <v>0</v>
      </c>
      <c r="Y387" s="19">
        <v>0</v>
      </c>
      <c r="Z387">
        <v>0</v>
      </c>
      <c r="AA387" s="19">
        <v>0</v>
      </c>
      <c r="AB387">
        <v>1</v>
      </c>
      <c r="AC387" s="19">
        <v>960</v>
      </c>
      <c r="AD387">
        <v>0</v>
      </c>
      <c r="AE387" s="19">
        <v>0</v>
      </c>
      <c r="AF387">
        <v>0</v>
      </c>
      <c r="AG387" s="19">
        <v>0</v>
      </c>
      <c r="AH387">
        <v>1</v>
      </c>
      <c r="AI387" s="19">
        <v>224</v>
      </c>
      <c r="AJ387">
        <v>1</v>
      </c>
      <c r="AK387" s="19">
        <v>112</v>
      </c>
      <c r="AL387">
        <v>1</v>
      </c>
      <c r="AM387" s="19">
        <v>224</v>
      </c>
      <c r="AN387">
        <v>1</v>
      </c>
      <c r="AO387" s="19">
        <v>240</v>
      </c>
      <c r="AP387">
        <v>1</v>
      </c>
      <c r="AQ387" s="19">
        <v>400</v>
      </c>
    </row>
    <row r="388" spans="1:43" x14ac:dyDescent="0.35">
      <c r="A388" s="18">
        <v>45676</v>
      </c>
      <c r="B388" t="s">
        <v>62</v>
      </c>
      <c r="C388" t="s">
        <v>61</v>
      </c>
      <c r="D388">
        <v>7</v>
      </c>
      <c r="E388">
        <v>2</v>
      </c>
      <c r="F388">
        <v>5</v>
      </c>
      <c r="G388" s="19">
        <v>3618</v>
      </c>
      <c r="H388" s="19">
        <v>2510</v>
      </c>
      <c r="I388" s="19">
        <v>1108</v>
      </c>
      <c r="J388" s="19">
        <v>232</v>
      </c>
      <c r="K388" s="19">
        <v>97</v>
      </c>
      <c r="L388" s="19">
        <v>806</v>
      </c>
      <c r="M388" s="19">
        <v>80</v>
      </c>
      <c r="N388" s="19">
        <v>57</v>
      </c>
      <c r="O388" s="19">
        <f t="shared" ref="O388:O451" si="12">SUM(J388:N388)</f>
        <v>1272</v>
      </c>
      <c r="P388" s="19">
        <f t="shared" ref="P388:P451" si="13">G388-O388</f>
        <v>2346</v>
      </c>
      <c r="Q388" t="s">
        <v>23</v>
      </c>
      <c r="R388" t="s">
        <v>55</v>
      </c>
      <c r="T388">
        <v>1</v>
      </c>
      <c r="U388" s="19">
        <v>1624</v>
      </c>
      <c r="V388">
        <v>0</v>
      </c>
      <c r="W388" s="19">
        <v>0</v>
      </c>
      <c r="X388">
        <v>0</v>
      </c>
      <c r="Y388" s="19">
        <v>0</v>
      </c>
      <c r="Z388">
        <v>0</v>
      </c>
      <c r="AA388" s="19">
        <v>0</v>
      </c>
      <c r="AB388">
        <v>1</v>
      </c>
      <c r="AC388" s="19">
        <v>886</v>
      </c>
      <c r="AD388">
        <v>0</v>
      </c>
      <c r="AE388" s="19">
        <v>0</v>
      </c>
      <c r="AF388">
        <v>0</v>
      </c>
      <c r="AG388" s="19">
        <v>0</v>
      </c>
      <c r="AH388">
        <v>1</v>
      </c>
      <c r="AI388" s="19">
        <v>207</v>
      </c>
      <c r="AJ388">
        <v>1</v>
      </c>
      <c r="AK388" s="19">
        <v>103</v>
      </c>
      <c r="AL388">
        <v>1</v>
      </c>
      <c r="AM388" s="19">
        <v>207</v>
      </c>
      <c r="AN388">
        <v>1</v>
      </c>
      <c r="AO388" s="19">
        <v>222</v>
      </c>
      <c r="AP388">
        <v>1</v>
      </c>
      <c r="AQ388" s="19">
        <v>369</v>
      </c>
    </row>
    <row r="389" spans="1:43" x14ac:dyDescent="0.35">
      <c r="A389" s="18">
        <v>45677</v>
      </c>
      <c r="B389" t="s">
        <v>52</v>
      </c>
      <c r="C389" t="s">
        <v>53</v>
      </c>
      <c r="D389">
        <v>5</v>
      </c>
      <c r="E389">
        <v>0</v>
      </c>
      <c r="F389">
        <v>5</v>
      </c>
      <c r="G389" s="19">
        <v>2563</v>
      </c>
      <c r="H389" s="19">
        <v>0</v>
      </c>
      <c r="I389" s="19">
        <v>2563</v>
      </c>
      <c r="J389" s="19">
        <v>232</v>
      </c>
      <c r="K389" s="19">
        <v>97</v>
      </c>
      <c r="L389" s="19">
        <v>806</v>
      </c>
      <c r="M389" s="19">
        <v>57</v>
      </c>
      <c r="N389" s="19">
        <v>40</v>
      </c>
      <c r="O389" s="19">
        <f t="shared" si="12"/>
        <v>1232</v>
      </c>
      <c r="P389" s="19">
        <f t="shared" si="13"/>
        <v>1331</v>
      </c>
      <c r="Q389" t="s">
        <v>34</v>
      </c>
      <c r="R389" t="s">
        <v>55</v>
      </c>
      <c r="T389">
        <v>0</v>
      </c>
      <c r="U389" s="19">
        <v>0</v>
      </c>
      <c r="V389">
        <v>0</v>
      </c>
      <c r="W389" s="19">
        <v>0</v>
      </c>
      <c r="X389">
        <v>0</v>
      </c>
      <c r="Y389" s="19">
        <v>0</v>
      </c>
      <c r="Z389">
        <v>0</v>
      </c>
      <c r="AA389" s="19">
        <v>0</v>
      </c>
      <c r="AB389">
        <v>0</v>
      </c>
      <c r="AC389" s="19">
        <v>0</v>
      </c>
      <c r="AD389">
        <v>0</v>
      </c>
      <c r="AE389" s="19">
        <v>0</v>
      </c>
      <c r="AF389">
        <v>0</v>
      </c>
      <c r="AG389" s="19">
        <v>0</v>
      </c>
      <c r="AH389">
        <v>1</v>
      </c>
      <c r="AI389" s="19">
        <v>478</v>
      </c>
      <c r="AJ389">
        <v>1</v>
      </c>
      <c r="AK389" s="19">
        <v>239</v>
      </c>
      <c r="AL389">
        <v>1</v>
      </c>
      <c r="AM389" s="19">
        <v>478</v>
      </c>
      <c r="AN389">
        <v>1</v>
      </c>
      <c r="AO389" s="19">
        <v>513</v>
      </c>
      <c r="AP389">
        <v>1</v>
      </c>
      <c r="AQ389" s="19">
        <v>854</v>
      </c>
    </row>
    <row r="390" spans="1:43" x14ac:dyDescent="0.35">
      <c r="A390" s="18">
        <v>45678</v>
      </c>
      <c r="B390" t="s">
        <v>56</v>
      </c>
      <c r="C390" t="s">
        <v>53</v>
      </c>
      <c r="D390">
        <v>5</v>
      </c>
      <c r="E390">
        <v>0</v>
      </c>
      <c r="F390">
        <v>5</v>
      </c>
      <c r="G390" s="19">
        <v>2714</v>
      </c>
      <c r="H390" s="19">
        <v>0</v>
      </c>
      <c r="I390" s="19">
        <v>2714</v>
      </c>
      <c r="J390" s="19">
        <v>232</v>
      </c>
      <c r="K390" s="19">
        <v>97</v>
      </c>
      <c r="L390" s="19">
        <v>806</v>
      </c>
      <c r="M390" s="19">
        <v>60</v>
      </c>
      <c r="N390" s="19">
        <v>40</v>
      </c>
      <c r="O390" s="19">
        <f t="shared" si="12"/>
        <v>1235</v>
      </c>
      <c r="P390" s="19">
        <f t="shared" si="13"/>
        <v>1479</v>
      </c>
      <c r="Q390" t="s">
        <v>34</v>
      </c>
      <c r="R390" t="s">
        <v>55</v>
      </c>
      <c r="T390">
        <v>0</v>
      </c>
      <c r="U390" s="19">
        <v>0</v>
      </c>
      <c r="V390">
        <v>0</v>
      </c>
      <c r="W390" s="19">
        <v>0</v>
      </c>
      <c r="X390">
        <v>0</v>
      </c>
      <c r="Y390" s="19">
        <v>0</v>
      </c>
      <c r="Z390">
        <v>0</v>
      </c>
      <c r="AA390" s="19">
        <v>0</v>
      </c>
      <c r="AB390">
        <v>0</v>
      </c>
      <c r="AC390" s="19">
        <v>0</v>
      </c>
      <c r="AD390">
        <v>0</v>
      </c>
      <c r="AE390" s="19">
        <v>0</v>
      </c>
      <c r="AF390">
        <v>0</v>
      </c>
      <c r="AG390" s="19">
        <v>0</v>
      </c>
      <c r="AH390">
        <v>1</v>
      </c>
      <c r="AI390" s="19">
        <v>507</v>
      </c>
      <c r="AJ390">
        <v>1</v>
      </c>
      <c r="AK390" s="19">
        <v>253</v>
      </c>
      <c r="AL390">
        <v>1</v>
      </c>
      <c r="AM390" s="19">
        <v>507</v>
      </c>
      <c r="AN390">
        <v>1</v>
      </c>
      <c r="AO390" s="19">
        <v>543</v>
      </c>
      <c r="AP390">
        <v>1</v>
      </c>
      <c r="AQ390" s="19">
        <v>905</v>
      </c>
    </row>
    <row r="391" spans="1:43" x14ac:dyDescent="0.35">
      <c r="A391" s="18">
        <v>45679</v>
      </c>
      <c r="B391" t="s">
        <v>57</v>
      </c>
      <c r="C391" t="s">
        <v>53</v>
      </c>
      <c r="D391">
        <v>5</v>
      </c>
      <c r="E391">
        <v>1</v>
      </c>
      <c r="F391">
        <v>4</v>
      </c>
      <c r="G391" s="19">
        <v>2865</v>
      </c>
      <c r="H391" s="19">
        <v>1970</v>
      </c>
      <c r="I391" s="19">
        <v>895</v>
      </c>
      <c r="J391" s="19">
        <v>232</v>
      </c>
      <c r="K391" s="19">
        <v>97</v>
      </c>
      <c r="L391" s="19">
        <v>806</v>
      </c>
      <c r="M391" s="19">
        <v>63</v>
      </c>
      <c r="N391" s="19">
        <v>40</v>
      </c>
      <c r="O391" s="19">
        <f t="shared" si="12"/>
        <v>1238</v>
      </c>
      <c r="P391" s="19">
        <f t="shared" si="13"/>
        <v>1627</v>
      </c>
      <c r="Q391" t="s">
        <v>23</v>
      </c>
      <c r="R391" t="s">
        <v>55</v>
      </c>
      <c r="T391">
        <v>1</v>
      </c>
      <c r="U391" s="19">
        <v>1970</v>
      </c>
      <c r="V391">
        <v>0</v>
      </c>
      <c r="W391" s="19">
        <v>0</v>
      </c>
      <c r="X391">
        <v>0</v>
      </c>
      <c r="Y391" s="19">
        <v>0</v>
      </c>
      <c r="Z391">
        <v>0</v>
      </c>
      <c r="AA391" s="19">
        <v>0</v>
      </c>
      <c r="AB391">
        <v>0</v>
      </c>
      <c r="AC391" s="19">
        <v>0</v>
      </c>
      <c r="AD391">
        <v>0</v>
      </c>
      <c r="AE391" s="19">
        <v>0</v>
      </c>
      <c r="AF391">
        <v>0</v>
      </c>
      <c r="AG391" s="19">
        <v>0</v>
      </c>
      <c r="AH391">
        <v>1</v>
      </c>
      <c r="AI391" s="19">
        <v>251</v>
      </c>
      <c r="AJ391">
        <v>1</v>
      </c>
      <c r="AK391" s="19">
        <v>125</v>
      </c>
      <c r="AL391">
        <v>1</v>
      </c>
      <c r="AM391" s="19">
        <v>251</v>
      </c>
      <c r="AN391">
        <v>1</v>
      </c>
      <c r="AO391" s="19">
        <v>269</v>
      </c>
      <c r="AP391">
        <v>0</v>
      </c>
      <c r="AQ391" s="19">
        <v>0</v>
      </c>
    </row>
    <row r="392" spans="1:43" x14ac:dyDescent="0.35">
      <c r="A392" s="18">
        <v>45680</v>
      </c>
      <c r="B392" t="s">
        <v>58</v>
      </c>
      <c r="C392" t="s">
        <v>53</v>
      </c>
      <c r="D392">
        <v>6</v>
      </c>
      <c r="E392">
        <v>2</v>
      </c>
      <c r="F392">
        <v>4</v>
      </c>
      <c r="G392" s="19">
        <v>3015</v>
      </c>
      <c r="H392" s="19">
        <v>2330</v>
      </c>
      <c r="I392" s="19">
        <v>685</v>
      </c>
      <c r="J392" s="19">
        <v>232</v>
      </c>
      <c r="K392" s="19">
        <v>97</v>
      </c>
      <c r="L392" s="19">
        <v>806</v>
      </c>
      <c r="M392" s="19">
        <v>66</v>
      </c>
      <c r="N392" s="19">
        <v>49</v>
      </c>
      <c r="O392" s="19">
        <f t="shared" si="12"/>
        <v>1250</v>
      </c>
      <c r="P392" s="19">
        <f t="shared" si="13"/>
        <v>1765</v>
      </c>
      <c r="Q392" t="s">
        <v>23</v>
      </c>
      <c r="R392" t="s">
        <v>55</v>
      </c>
      <c r="T392">
        <v>1</v>
      </c>
      <c r="U392" s="19">
        <v>1508</v>
      </c>
      <c r="V392">
        <v>0</v>
      </c>
      <c r="W392" s="19">
        <v>0</v>
      </c>
      <c r="X392">
        <v>0</v>
      </c>
      <c r="Y392" s="19">
        <v>0</v>
      </c>
      <c r="Z392">
        <v>0</v>
      </c>
      <c r="AA392" s="19">
        <v>0</v>
      </c>
      <c r="AB392">
        <v>1</v>
      </c>
      <c r="AC392" s="19">
        <v>822</v>
      </c>
      <c r="AD392">
        <v>0</v>
      </c>
      <c r="AE392" s="19">
        <v>0</v>
      </c>
      <c r="AF392">
        <v>0</v>
      </c>
      <c r="AG392" s="19">
        <v>0</v>
      </c>
      <c r="AH392">
        <v>1</v>
      </c>
      <c r="AI392" s="19">
        <v>192</v>
      </c>
      <c r="AJ392">
        <v>1</v>
      </c>
      <c r="AK392" s="19">
        <v>96</v>
      </c>
      <c r="AL392">
        <v>1</v>
      </c>
      <c r="AM392" s="19">
        <v>192</v>
      </c>
      <c r="AN392">
        <v>1</v>
      </c>
      <c r="AO392" s="19">
        <v>206</v>
      </c>
      <c r="AP392">
        <v>0</v>
      </c>
      <c r="AQ392" s="19">
        <v>0</v>
      </c>
    </row>
    <row r="393" spans="1:43" x14ac:dyDescent="0.35">
      <c r="A393" s="18">
        <v>45681</v>
      </c>
      <c r="B393" t="s">
        <v>59</v>
      </c>
      <c r="C393" t="s">
        <v>53</v>
      </c>
      <c r="D393">
        <v>6</v>
      </c>
      <c r="E393">
        <v>2</v>
      </c>
      <c r="F393">
        <v>4</v>
      </c>
      <c r="G393" s="19">
        <v>3166</v>
      </c>
      <c r="H393" s="19">
        <v>2446</v>
      </c>
      <c r="I393" s="19">
        <v>720</v>
      </c>
      <c r="J393" s="19">
        <v>232</v>
      </c>
      <c r="K393" s="19">
        <v>97</v>
      </c>
      <c r="L393" s="19">
        <v>806</v>
      </c>
      <c r="M393" s="19">
        <v>70</v>
      </c>
      <c r="N393" s="19">
        <v>49</v>
      </c>
      <c r="O393" s="19">
        <f t="shared" si="12"/>
        <v>1254</v>
      </c>
      <c r="P393" s="19">
        <f t="shared" si="13"/>
        <v>1912</v>
      </c>
      <c r="Q393" t="s">
        <v>23</v>
      </c>
      <c r="R393" t="s">
        <v>55</v>
      </c>
      <c r="T393">
        <v>1</v>
      </c>
      <c r="U393" s="19">
        <v>1583</v>
      </c>
      <c r="V393">
        <v>0</v>
      </c>
      <c r="W393" s="19">
        <v>0</v>
      </c>
      <c r="X393">
        <v>0</v>
      </c>
      <c r="Y393" s="19">
        <v>0</v>
      </c>
      <c r="Z393">
        <v>0</v>
      </c>
      <c r="AA393" s="19">
        <v>0</v>
      </c>
      <c r="AB393">
        <v>1</v>
      </c>
      <c r="AC393" s="19">
        <v>863</v>
      </c>
      <c r="AD393">
        <v>0</v>
      </c>
      <c r="AE393" s="19">
        <v>0</v>
      </c>
      <c r="AF393">
        <v>0</v>
      </c>
      <c r="AG393" s="19">
        <v>0</v>
      </c>
      <c r="AH393">
        <v>1</v>
      </c>
      <c r="AI393" s="19">
        <v>201</v>
      </c>
      <c r="AJ393">
        <v>1</v>
      </c>
      <c r="AK393" s="19">
        <v>101</v>
      </c>
      <c r="AL393">
        <v>1</v>
      </c>
      <c r="AM393" s="19">
        <v>201</v>
      </c>
      <c r="AN393">
        <v>1</v>
      </c>
      <c r="AO393" s="19">
        <v>216</v>
      </c>
      <c r="AP393">
        <v>0</v>
      </c>
      <c r="AQ393" s="19">
        <v>0</v>
      </c>
    </row>
    <row r="394" spans="1:43" x14ac:dyDescent="0.35">
      <c r="A394" s="18">
        <v>45682</v>
      </c>
      <c r="B394" t="s">
        <v>60</v>
      </c>
      <c r="C394" t="s">
        <v>61</v>
      </c>
      <c r="D394">
        <v>7</v>
      </c>
      <c r="E394">
        <v>2</v>
      </c>
      <c r="F394">
        <v>5</v>
      </c>
      <c r="G394" s="19">
        <v>3920</v>
      </c>
      <c r="H394" s="19">
        <v>2720</v>
      </c>
      <c r="I394" s="19">
        <v>1200</v>
      </c>
      <c r="J394" s="19">
        <v>232</v>
      </c>
      <c r="K394" s="19">
        <v>97</v>
      </c>
      <c r="L394" s="19">
        <v>806</v>
      </c>
      <c r="M394" s="19">
        <v>86</v>
      </c>
      <c r="N394" s="19">
        <v>57</v>
      </c>
      <c r="O394" s="19">
        <f t="shared" si="12"/>
        <v>1278</v>
      </c>
      <c r="P394" s="19">
        <f t="shared" si="13"/>
        <v>2642</v>
      </c>
      <c r="Q394" t="s">
        <v>23</v>
      </c>
      <c r="R394" t="s">
        <v>55</v>
      </c>
      <c r="T394">
        <v>1</v>
      </c>
      <c r="U394" s="19">
        <v>1760</v>
      </c>
      <c r="V394">
        <v>0</v>
      </c>
      <c r="W394" s="19">
        <v>0</v>
      </c>
      <c r="X394">
        <v>0</v>
      </c>
      <c r="Y394" s="19">
        <v>0</v>
      </c>
      <c r="Z394">
        <v>0</v>
      </c>
      <c r="AA394" s="19">
        <v>0</v>
      </c>
      <c r="AB394">
        <v>1</v>
      </c>
      <c r="AC394" s="19">
        <v>960</v>
      </c>
      <c r="AD394">
        <v>0</v>
      </c>
      <c r="AE394" s="19">
        <v>0</v>
      </c>
      <c r="AF394">
        <v>0</v>
      </c>
      <c r="AG394" s="19">
        <v>0</v>
      </c>
      <c r="AH394">
        <v>1</v>
      </c>
      <c r="AI394" s="19">
        <v>224</v>
      </c>
      <c r="AJ394">
        <v>1</v>
      </c>
      <c r="AK394" s="19">
        <v>112</v>
      </c>
      <c r="AL394">
        <v>1</v>
      </c>
      <c r="AM394" s="19">
        <v>224</v>
      </c>
      <c r="AN394">
        <v>1</v>
      </c>
      <c r="AO394" s="19">
        <v>240</v>
      </c>
      <c r="AP394">
        <v>1</v>
      </c>
      <c r="AQ394" s="19">
        <v>400</v>
      </c>
    </row>
    <row r="395" spans="1:43" x14ac:dyDescent="0.35">
      <c r="A395" s="18">
        <v>45683</v>
      </c>
      <c r="B395" t="s">
        <v>62</v>
      </c>
      <c r="C395" t="s">
        <v>61</v>
      </c>
      <c r="D395">
        <v>7</v>
      </c>
      <c r="E395">
        <v>2</v>
      </c>
      <c r="F395">
        <v>5</v>
      </c>
      <c r="G395" s="19">
        <v>3618</v>
      </c>
      <c r="H395" s="19">
        <v>2510</v>
      </c>
      <c r="I395" s="19">
        <v>1108</v>
      </c>
      <c r="J395" s="19">
        <v>232</v>
      </c>
      <c r="K395" s="19">
        <v>97</v>
      </c>
      <c r="L395" s="19">
        <v>806</v>
      </c>
      <c r="M395" s="19">
        <v>80</v>
      </c>
      <c r="N395" s="19">
        <v>57</v>
      </c>
      <c r="O395" s="19">
        <f t="shared" si="12"/>
        <v>1272</v>
      </c>
      <c r="P395" s="19">
        <f t="shared" si="13"/>
        <v>2346</v>
      </c>
      <c r="Q395" t="s">
        <v>23</v>
      </c>
      <c r="R395" t="s">
        <v>55</v>
      </c>
      <c r="T395">
        <v>1</v>
      </c>
      <c r="U395" s="19">
        <v>1624</v>
      </c>
      <c r="V395">
        <v>0</v>
      </c>
      <c r="W395" s="19">
        <v>0</v>
      </c>
      <c r="X395">
        <v>0</v>
      </c>
      <c r="Y395" s="19">
        <v>0</v>
      </c>
      <c r="Z395">
        <v>0</v>
      </c>
      <c r="AA395" s="19">
        <v>0</v>
      </c>
      <c r="AB395">
        <v>1</v>
      </c>
      <c r="AC395" s="19">
        <v>886</v>
      </c>
      <c r="AD395">
        <v>0</v>
      </c>
      <c r="AE395" s="19">
        <v>0</v>
      </c>
      <c r="AF395">
        <v>0</v>
      </c>
      <c r="AG395" s="19">
        <v>0</v>
      </c>
      <c r="AH395">
        <v>1</v>
      </c>
      <c r="AI395" s="19">
        <v>207</v>
      </c>
      <c r="AJ395">
        <v>1</v>
      </c>
      <c r="AK395" s="19">
        <v>103</v>
      </c>
      <c r="AL395">
        <v>1</v>
      </c>
      <c r="AM395" s="19">
        <v>207</v>
      </c>
      <c r="AN395">
        <v>1</v>
      </c>
      <c r="AO395" s="19">
        <v>222</v>
      </c>
      <c r="AP395">
        <v>1</v>
      </c>
      <c r="AQ395" s="19">
        <v>369</v>
      </c>
    </row>
    <row r="396" spans="1:43" x14ac:dyDescent="0.35">
      <c r="A396" s="18">
        <v>45684</v>
      </c>
      <c r="B396" t="s">
        <v>52</v>
      </c>
      <c r="C396" t="s">
        <v>53</v>
      </c>
      <c r="D396">
        <v>5</v>
      </c>
      <c r="E396">
        <v>1</v>
      </c>
      <c r="F396">
        <v>4</v>
      </c>
      <c r="G396" s="19">
        <v>2563</v>
      </c>
      <c r="H396" s="19">
        <v>1762</v>
      </c>
      <c r="I396" s="19">
        <v>801</v>
      </c>
      <c r="J396" s="19">
        <v>232</v>
      </c>
      <c r="K396" s="19">
        <v>97</v>
      </c>
      <c r="L396" s="19">
        <v>806</v>
      </c>
      <c r="M396" s="19">
        <v>57</v>
      </c>
      <c r="N396" s="19">
        <v>40</v>
      </c>
      <c r="O396" s="19">
        <f t="shared" si="12"/>
        <v>1232</v>
      </c>
      <c r="P396" s="19">
        <f t="shared" si="13"/>
        <v>1331</v>
      </c>
      <c r="Q396" t="s">
        <v>23</v>
      </c>
      <c r="R396" t="s">
        <v>55</v>
      </c>
      <c r="T396">
        <v>1</v>
      </c>
      <c r="U396" s="19">
        <v>1762</v>
      </c>
      <c r="V396">
        <v>0</v>
      </c>
      <c r="W396" s="19">
        <v>0</v>
      </c>
      <c r="X396">
        <v>0</v>
      </c>
      <c r="Y396" s="19">
        <v>0</v>
      </c>
      <c r="Z396">
        <v>0</v>
      </c>
      <c r="AA396" s="19">
        <v>0</v>
      </c>
      <c r="AB396">
        <v>0</v>
      </c>
      <c r="AC396" s="19">
        <v>0</v>
      </c>
      <c r="AD396">
        <v>0</v>
      </c>
      <c r="AE396" s="19">
        <v>0</v>
      </c>
      <c r="AF396">
        <v>0</v>
      </c>
      <c r="AG396" s="19">
        <v>0</v>
      </c>
      <c r="AH396">
        <v>1</v>
      </c>
      <c r="AI396" s="19">
        <v>224</v>
      </c>
      <c r="AJ396">
        <v>1</v>
      </c>
      <c r="AK396" s="19">
        <v>112</v>
      </c>
      <c r="AL396">
        <v>1</v>
      </c>
      <c r="AM396" s="19">
        <v>224</v>
      </c>
      <c r="AN396">
        <v>1</v>
      </c>
      <c r="AO396" s="19">
        <v>240</v>
      </c>
      <c r="AP396">
        <v>0</v>
      </c>
      <c r="AQ396" s="19">
        <v>0</v>
      </c>
    </row>
    <row r="397" spans="1:43" x14ac:dyDescent="0.35">
      <c r="A397" s="18">
        <v>45685</v>
      </c>
      <c r="B397" t="s">
        <v>56</v>
      </c>
      <c r="C397" t="s">
        <v>53</v>
      </c>
      <c r="D397">
        <v>5</v>
      </c>
      <c r="E397">
        <v>1</v>
      </c>
      <c r="F397">
        <v>4</v>
      </c>
      <c r="G397" s="19">
        <v>2714</v>
      </c>
      <c r="H397" s="19">
        <v>1480</v>
      </c>
      <c r="I397" s="19">
        <v>1234</v>
      </c>
      <c r="J397" s="19">
        <v>232</v>
      </c>
      <c r="K397" s="19">
        <v>97</v>
      </c>
      <c r="L397" s="19">
        <v>806</v>
      </c>
      <c r="M397" s="19">
        <v>60</v>
      </c>
      <c r="N397" s="19">
        <v>40</v>
      </c>
      <c r="O397" s="19">
        <f t="shared" si="12"/>
        <v>1235</v>
      </c>
      <c r="P397" s="19">
        <f t="shared" si="13"/>
        <v>1479</v>
      </c>
      <c r="Q397" t="s">
        <v>27</v>
      </c>
      <c r="R397" t="s">
        <v>55</v>
      </c>
      <c r="T397">
        <v>0</v>
      </c>
      <c r="U397" s="19">
        <v>0</v>
      </c>
      <c r="V397">
        <v>0</v>
      </c>
      <c r="W397" s="19">
        <v>0</v>
      </c>
      <c r="X397">
        <v>0</v>
      </c>
      <c r="Y397" s="19">
        <v>0</v>
      </c>
      <c r="Z397">
        <v>0</v>
      </c>
      <c r="AA397" s="19">
        <v>0</v>
      </c>
      <c r="AB397">
        <v>1</v>
      </c>
      <c r="AC397" s="19">
        <v>1480</v>
      </c>
      <c r="AD397">
        <v>0</v>
      </c>
      <c r="AE397" s="19">
        <v>0</v>
      </c>
      <c r="AF397">
        <v>0</v>
      </c>
      <c r="AG397" s="19">
        <v>0</v>
      </c>
      <c r="AH397">
        <v>1</v>
      </c>
      <c r="AI397" s="19">
        <v>345</v>
      </c>
      <c r="AJ397">
        <v>1</v>
      </c>
      <c r="AK397" s="19">
        <v>173</v>
      </c>
      <c r="AL397">
        <v>1</v>
      </c>
      <c r="AM397" s="19">
        <v>345</v>
      </c>
      <c r="AN397">
        <v>1</v>
      </c>
      <c r="AO397" s="19">
        <v>370</v>
      </c>
      <c r="AP397">
        <v>0</v>
      </c>
      <c r="AQ397" s="19">
        <v>0</v>
      </c>
    </row>
    <row r="398" spans="1:43" x14ac:dyDescent="0.35">
      <c r="A398" s="18">
        <v>45686</v>
      </c>
      <c r="B398" t="s">
        <v>57</v>
      </c>
      <c r="C398" t="s">
        <v>53</v>
      </c>
      <c r="D398">
        <v>5</v>
      </c>
      <c r="E398">
        <v>1</v>
      </c>
      <c r="F398">
        <v>4</v>
      </c>
      <c r="G398" s="19">
        <v>2865</v>
      </c>
      <c r="H398" s="19">
        <v>1970</v>
      </c>
      <c r="I398" s="19">
        <v>895</v>
      </c>
      <c r="J398" s="19">
        <v>232</v>
      </c>
      <c r="K398" s="19">
        <v>97</v>
      </c>
      <c r="L398" s="19">
        <v>806</v>
      </c>
      <c r="M398" s="19">
        <v>63</v>
      </c>
      <c r="N398" s="19">
        <v>40</v>
      </c>
      <c r="O398" s="19">
        <f t="shared" si="12"/>
        <v>1238</v>
      </c>
      <c r="P398" s="19">
        <f t="shared" si="13"/>
        <v>1627</v>
      </c>
      <c r="Q398" t="s">
        <v>23</v>
      </c>
      <c r="R398" t="s">
        <v>55</v>
      </c>
      <c r="T398">
        <v>1</v>
      </c>
      <c r="U398" s="19">
        <v>1970</v>
      </c>
      <c r="V398">
        <v>0</v>
      </c>
      <c r="W398" s="19">
        <v>0</v>
      </c>
      <c r="X398">
        <v>0</v>
      </c>
      <c r="Y398" s="19">
        <v>0</v>
      </c>
      <c r="Z398">
        <v>0</v>
      </c>
      <c r="AA398" s="19">
        <v>0</v>
      </c>
      <c r="AB398">
        <v>0</v>
      </c>
      <c r="AC398" s="19">
        <v>0</v>
      </c>
      <c r="AD398">
        <v>0</v>
      </c>
      <c r="AE398" s="19">
        <v>0</v>
      </c>
      <c r="AF398">
        <v>0</v>
      </c>
      <c r="AG398" s="19">
        <v>0</v>
      </c>
      <c r="AH398">
        <v>1</v>
      </c>
      <c r="AI398" s="19">
        <v>251</v>
      </c>
      <c r="AJ398">
        <v>1</v>
      </c>
      <c r="AK398" s="19">
        <v>125</v>
      </c>
      <c r="AL398">
        <v>1</v>
      </c>
      <c r="AM398" s="19">
        <v>251</v>
      </c>
      <c r="AN398">
        <v>1</v>
      </c>
      <c r="AO398" s="19">
        <v>269</v>
      </c>
      <c r="AP398">
        <v>0</v>
      </c>
      <c r="AQ398" s="19">
        <v>0</v>
      </c>
    </row>
    <row r="399" spans="1:43" x14ac:dyDescent="0.35">
      <c r="A399" s="18">
        <v>45687</v>
      </c>
      <c r="B399" t="s">
        <v>58</v>
      </c>
      <c r="C399" t="s">
        <v>53</v>
      </c>
      <c r="D399">
        <v>6</v>
      </c>
      <c r="E399">
        <v>1</v>
      </c>
      <c r="F399">
        <v>5</v>
      </c>
      <c r="G399" s="19">
        <v>3015</v>
      </c>
      <c r="H399" s="19">
        <v>1340</v>
      </c>
      <c r="I399" s="19">
        <v>1675</v>
      </c>
      <c r="J399" s="19">
        <v>232</v>
      </c>
      <c r="K399" s="19">
        <v>97</v>
      </c>
      <c r="L399" s="19">
        <v>806</v>
      </c>
      <c r="M399" s="19">
        <v>66</v>
      </c>
      <c r="N399" s="19">
        <v>49</v>
      </c>
      <c r="O399" s="19">
        <f t="shared" si="12"/>
        <v>1250</v>
      </c>
      <c r="P399" s="19">
        <f t="shared" si="13"/>
        <v>1765</v>
      </c>
      <c r="Q399" t="s">
        <v>27</v>
      </c>
      <c r="R399" t="s">
        <v>55</v>
      </c>
      <c r="T399">
        <v>0</v>
      </c>
      <c r="U399" s="19">
        <v>0</v>
      </c>
      <c r="V399">
        <v>0</v>
      </c>
      <c r="W399" s="19">
        <v>0</v>
      </c>
      <c r="X399">
        <v>0</v>
      </c>
      <c r="Y399" s="19">
        <v>0</v>
      </c>
      <c r="Z399">
        <v>0</v>
      </c>
      <c r="AA399" s="19">
        <v>0</v>
      </c>
      <c r="AB399">
        <v>1</v>
      </c>
      <c r="AC399" s="19">
        <v>1340</v>
      </c>
      <c r="AD399">
        <v>0</v>
      </c>
      <c r="AE399" s="19">
        <v>0</v>
      </c>
      <c r="AF399">
        <v>0</v>
      </c>
      <c r="AG399" s="19">
        <v>0</v>
      </c>
      <c r="AH399">
        <v>1</v>
      </c>
      <c r="AI399" s="19">
        <v>313</v>
      </c>
      <c r="AJ399">
        <v>1</v>
      </c>
      <c r="AK399" s="19">
        <v>156</v>
      </c>
      <c r="AL399">
        <v>1</v>
      </c>
      <c r="AM399" s="19">
        <v>313</v>
      </c>
      <c r="AN399">
        <v>1</v>
      </c>
      <c r="AO399" s="19">
        <v>335</v>
      </c>
      <c r="AP399">
        <v>1</v>
      </c>
      <c r="AQ399" s="19">
        <v>558</v>
      </c>
    </row>
    <row r="400" spans="1:43" x14ac:dyDescent="0.35">
      <c r="A400" s="18">
        <v>45688</v>
      </c>
      <c r="B400" t="s">
        <v>59</v>
      </c>
      <c r="C400" t="s">
        <v>53</v>
      </c>
      <c r="D400">
        <v>6</v>
      </c>
      <c r="E400">
        <v>2</v>
      </c>
      <c r="F400">
        <v>4</v>
      </c>
      <c r="G400" s="19">
        <v>3166</v>
      </c>
      <c r="H400" s="19">
        <v>2446</v>
      </c>
      <c r="I400" s="19">
        <v>720</v>
      </c>
      <c r="J400" s="19">
        <v>232</v>
      </c>
      <c r="K400" s="19">
        <v>97</v>
      </c>
      <c r="L400" s="19">
        <v>806</v>
      </c>
      <c r="M400" s="19">
        <v>70</v>
      </c>
      <c r="N400" s="19">
        <v>49</v>
      </c>
      <c r="O400" s="19">
        <f t="shared" si="12"/>
        <v>1254</v>
      </c>
      <c r="P400" s="19">
        <f t="shared" si="13"/>
        <v>1912</v>
      </c>
      <c r="Q400" t="s">
        <v>23</v>
      </c>
      <c r="R400" t="s">
        <v>55</v>
      </c>
      <c r="T400">
        <v>1</v>
      </c>
      <c r="U400" s="19">
        <v>1583</v>
      </c>
      <c r="V400">
        <v>0</v>
      </c>
      <c r="W400" s="19">
        <v>0</v>
      </c>
      <c r="X400">
        <v>0</v>
      </c>
      <c r="Y400" s="19">
        <v>0</v>
      </c>
      <c r="Z400">
        <v>0</v>
      </c>
      <c r="AA400" s="19">
        <v>0</v>
      </c>
      <c r="AB400">
        <v>1</v>
      </c>
      <c r="AC400" s="19">
        <v>863</v>
      </c>
      <c r="AD400">
        <v>0</v>
      </c>
      <c r="AE400" s="19">
        <v>0</v>
      </c>
      <c r="AF400">
        <v>0</v>
      </c>
      <c r="AG400" s="19">
        <v>0</v>
      </c>
      <c r="AH400">
        <v>1</v>
      </c>
      <c r="AI400" s="19">
        <v>201</v>
      </c>
      <c r="AJ400">
        <v>1</v>
      </c>
      <c r="AK400" s="19">
        <v>101</v>
      </c>
      <c r="AL400">
        <v>1</v>
      </c>
      <c r="AM400" s="19">
        <v>201</v>
      </c>
      <c r="AN400">
        <v>1</v>
      </c>
      <c r="AO400" s="19">
        <v>216</v>
      </c>
      <c r="AP400">
        <v>0</v>
      </c>
      <c r="AQ400" s="19">
        <v>0</v>
      </c>
    </row>
    <row r="401" spans="1:43" x14ac:dyDescent="0.35">
      <c r="A401" s="18">
        <v>45689</v>
      </c>
      <c r="B401" t="s">
        <v>60</v>
      </c>
      <c r="C401" t="s">
        <v>61</v>
      </c>
      <c r="D401">
        <v>10</v>
      </c>
      <c r="E401">
        <v>5</v>
      </c>
      <c r="F401">
        <v>5</v>
      </c>
      <c r="G401" s="19">
        <v>5188</v>
      </c>
      <c r="H401" s="19">
        <v>4063</v>
      </c>
      <c r="I401" s="19">
        <v>1125</v>
      </c>
      <c r="J401" s="19">
        <v>261</v>
      </c>
      <c r="K401" s="19">
        <v>107</v>
      </c>
      <c r="L401" s="19">
        <v>893</v>
      </c>
      <c r="M401" s="19">
        <v>114</v>
      </c>
      <c r="N401" s="19">
        <v>81</v>
      </c>
      <c r="O401" s="19">
        <f t="shared" si="12"/>
        <v>1456</v>
      </c>
      <c r="P401" s="19">
        <f t="shared" si="13"/>
        <v>3732</v>
      </c>
      <c r="Q401" t="s">
        <v>23</v>
      </c>
      <c r="R401" t="s">
        <v>63</v>
      </c>
      <c r="T401">
        <v>1</v>
      </c>
      <c r="U401" s="19">
        <v>1649</v>
      </c>
      <c r="V401">
        <v>0</v>
      </c>
      <c r="W401" s="19">
        <v>0</v>
      </c>
      <c r="X401">
        <v>0</v>
      </c>
      <c r="Y401" s="19">
        <v>0</v>
      </c>
      <c r="Z401">
        <v>1</v>
      </c>
      <c r="AA401" s="19">
        <v>1200</v>
      </c>
      <c r="AB401">
        <v>1</v>
      </c>
      <c r="AC401" s="19">
        <v>900</v>
      </c>
      <c r="AD401">
        <v>0</v>
      </c>
      <c r="AE401" s="19">
        <v>0</v>
      </c>
      <c r="AF401">
        <v>0</v>
      </c>
      <c r="AG401" s="19">
        <v>0</v>
      </c>
      <c r="AH401">
        <v>2</v>
      </c>
      <c r="AI401" s="19">
        <v>420</v>
      </c>
      <c r="AJ401">
        <v>2</v>
      </c>
      <c r="AK401" s="19">
        <v>210</v>
      </c>
      <c r="AL401">
        <v>1</v>
      </c>
      <c r="AM401" s="19">
        <v>210</v>
      </c>
      <c r="AN401">
        <v>1</v>
      </c>
      <c r="AO401" s="19">
        <v>225</v>
      </c>
      <c r="AP401">
        <v>1</v>
      </c>
      <c r="AQ401" s="19">
        <v>375</v>
      </c>
    </row>
    <row r="402" spans="1:43" x14ac:dyDescent="0.35">
      <c r="A402" s="18">
        <v>45690</v>
      </c>
      <c r="B402" t="s">
        <v>62</v>
      </c>
      <c r="C402" t="s">
        <v>61</v>
      </c>
      <c r="D402">
        <v>9</v>
      </c>
      <c r="E402">
        <v>4</v>
      </c>
      <c r="F402">
        <v>5</v>
      </c>
      <c r="G402" s="19">
        <v>4789</v>
      </c>
      <c r="H402" s="19">
        <v>3729</v>
      </c>
      <c r="I402" s="19">
        <v>1060</v>
      </c>
      <c r="J402" s="19">
        <v>261</v>
      </c>
      <c r="K402" s="19">
        <v>107</v>
      </c>
      <c r="L402" s="19">
        <v>893</v>
      </c>
      <c r="M402" s="19">
        <v>106</v>
      </c>
      <c r="N402" s="19">
        <v>73</v>
      </c>
      <c r="O402" s="19">
        <f t="shared" si="12"/>
        <v>1440</v>
      </c>
      <c r="P402" s="19">
        <f t="shared" si="13"/>
        <v>3349</v>
      </c>
      <c r="Q402" t="s">
        <v>23</v>
      </c>
      <c r="R402" t="s">
        <v>63</v>
      </c>
      <c r="T402">
        <v>1</v>
      </c>
      <c r="U402" s="19">
        <v>1554</v>
      </c>
      <c r="V402">
        <v>0</v>
      </c>
      <c r="W402" s="19">
        <v>0</v>
      </c>
      <c r="X402">
        <v>0</v>
      </c>
      <c r="Y402" s="19">
        <v>0</v>
      </c>
      <c r="Z402">
        <v>1</v>
      </c>
      <c r="AA402" s="19">
        <v>1130</v>
      </c>
      <c r="AB402">
        <v>1</v>
      </c>
      <c r="AC402" s="19">
        <v>848</v>
      </c>
      <c r="AD402">
        <v>0</v>
      </c>
      <c r="AE402" s="19">
        <v>0</v>
      </c>
      <c r="AF402">
        <v>0</v>
      </c>
      <c r="AG402" s="19">
        <v>0</v>
      </c>
      <c r="AH402">
        <v>2</v>
      </c>
      <c r="AI402" s="19">
        <v>396</v>
      </c>
      <c r="AJ402">
        <v>1</v>
      </c>
      <c r="AK402" s="19">
        <v>99</v>
      </c>
      <c r="AL402">
        <v>1</v>
      </c>
      <c r="AM402" s="19">
        <v>198</v>
      </c>
      <c r="AN402">
        <v>1</v>
      </c>
      <c r="AO402" s="19">
        <v>212</v>
      </c>
      <c r="AP402">
        <v>1</v>
      </c>
      <c r="AQ402" s="19">
        <v>353</v>
      </c>
    </row>
    <row r="403" spans="1:43" x14ac:dyDescent="0.35">
      <c r="A403" s="18">
        <v>45691</v>
      </c>
      <c r="B403" t="s">
        <v>52</v>
      </c>
      <c r="C403" t="s">
        <v>53</v>
      </c>
      <c r="D403">
        <v>6</v>
      </c>
      <c r="E403">
        <v>1</v>
      </c>
      <c r="F403">
        <v>5</v>
      </c>
      <c r="G403" s="19">
        <v>3392</v>
      </c>
      <c r="H403" s="19">
        <v>2017</v>
      </c>
      <c r="I403" s="19">
        <v>1375</v>
      </c>
      <c r="J403" s="19">
        <v>261</v>
      </c>
      <c r="K403" s="19">
        <v>107</v>
      </c>
      <c r="L403" s="19">
        <v>893</v>
      </c>
      <c r="M403" s="19">
        <v>75</v>
      </c>
      <c r="N403" s="19">
        <v>49</v>
      </c>
      <c r="O403" s="19">
        <f t="shared" si="12"/>
        <v>1385</v>
      </c>
      <c r="P403" s="19">
        <f t="shared" si="13"/>
        <v>2007</v>
      </c>
      <c r="Q403" t="s">
        <v>23</v>
      </c>
      <c r="R403" t="s">
        <v>63</v>
      </c>
      <c r="T403">
        <v>1</v>
      </c>
      <c r="U403" s="19">
        <v>2017</v>
      </c>
      <c r="V403">
        <v>0</v>
      </c>
      <c r="W403" s="19">
        <v>0</v>
      </c>
      <c r="X403">
        <v>0</v>
      </c>
      <c r="Y403" s="19">
        <v>0</v>
      </c>
      <c r="Z403">
        <v>0</v>
      </c>
      <c r="AA403" s="19">
        <v>0</v>
      </c>
      <c r="AB403">
        <v>0</v>
      </c>
      <c r="AC403" s="19">
        <v>0</v>
      </c>
      <c r="AD403">
        <v>0</v>
      </c>
      <c r="AE403" s="19">
        <v>0</v>
      </c>
      <c r="AF403">
        <v>0</v>
      </c>
      <c r="AG403" s="19">
        <v>0</v>
      </c>
      <c r="AH403">
        <v>1</v>
      </c>
      <c r="AI403" s="19">
        <v>257</v>
      </c>
      <c r="AJ403">
        <v>1</v>
      </c>
      <c r="AK403" s="19">
        <v>128</v>
      </c>
      <c r="AL403">
        <v>1</v>
      </c>
      <c r="AM403" s="19">
        <v>257</v>
      </c>
      <c r="AN403">
        <v>1</v>
      </c>
      <c r="AO403" s="19">
        <v>275</v>
      </c>
      <c r="AP403">
        <v>1</v>
      </c>
      <c r="AQ403" s="19">
        <v>458</v>
      </c>
    </row>
    <row r="404" spans="1:43" x14ac:dyDescent="0.35">
      <c r="A404" s="18">
        <v>45692</v>
      </c>
      <c r="B404" t="s">
        <v>56</v>
      </c>
      <c r="C404" t="s">
        <v>53</v>
      </c>
      <c r="D404">
        <v>7</v>
      </c>
      <c r="E404">
        <v>2</v>
      </c>
      <c r="F404">
        <v>5</v>
      </c>
      <c r="G404" s="19">
        <v>3592</v>
      </c>
      <c r="H404" s="19">
        <v>2492</v>
      </c>
      <c r="I404" s="19">
        <v>1100</v>
      </c>
      <c r="J404" s="19">
        <v>261</v>
      </c>
      <c r="K404" s="19">
        <v>107</v>
      </c>
      <c r="L404" s="19">
        <v>893</v>
      </c>
      <c r="M404" s="19">
        <v>79</v>
      </c>
      <c r="N404" s="19">
        <v>57</v>
      </c>
      <c r="O404" s="19">
        <f t="shared" si="12"/>
        <v>1397</v>
      </c>
      <c r="P404" s="19">
        <f t="shared" si="13"/>
        <v>2195</v>
      </c>
      <c r="Q404" t="s">
        <v>23</v>
      </c>
      <c r="R404" t="s">
        <v>63</v>
      </c>
      <c r="T404">
        <v>1</v>
      </c>
      <c r="U404" s="19">
        <v>1613</v>
      </c>
      <c r="V404">
        <v>0</v>
      </c>
      <c r="W404" s="19">
        <v>0</v>
      </c>
      <c r="X404">
        <v>0</v>
      </c>
      <c r="Y404" s="19">
        <v>0</v>
      </c>
      <c r="Z404">
        <v>0</v>
      </c>
      <c r="AA404" s="19">
        <v>0</v>
      </c>
      <c r="AB404">
        <v>1</v>
      </c>
      <c r="AC404" s="19">
        <v>880</v>
      </c>
      <c r="AD404">
        <v>0</v>
      </c>
      <c r="AE404" s="19">
        <v>0</v>
      </c>
      <c r="AF404">
        <v>0</v>
      </c>
      <c r="AG404" s="19">
        <v>0</v>
      </c>
      <c r="AH404">
        <v>1</v>
      </c>
      <c r="AI404" s="19">
        <v>205</v>
      </c>
      <c r="AJ404">
        <v>1</v>
      </c>
      <c r="AK404" s="19">
        <v>103</v>
      </c>
      <c r="AL404">
        <v>1</v>
      </c>
      <c r="AM404" s="19">
        <v>205</v>
      </c>
      <c r="AN404">
        <v>1</v>
      </c>
      <c r="AO404" s="19">
        <v>220</v>
      </c>
      <c r="AP404">
        <v>1</v>
      </c>
      <c r="AQ404" s="19">
        <v>367</v>
      </c>
    </row>
    <row r="405" spans="1:43" x14ac:dyDescent="0.35">
      <c r="A405" s="18">
        <v>45693</v>
      </c>
      <c r="B405" t="s">
        <v>57</v>
      </c>
      <c r="C405" t="s">
        <v>53</v>
      </c>
      <c r="D405">
        <v>7</v>
      </c>
      <c r="E405">
        <v>2</v>
      </c>
      <c r="F405">
        <v>5</v>
      </c>
      <c r="G405" s="19">
        <v>3791</v>
      </c>
      <c r="H405" s="19">
        <v>2630</v>
      </c>
      <c r="I405" s="19">
        <v>1161</v>
      </c>
      <c r="J405" s="19">
        <v>261</v>
      </c>
      <c r="K405" s="19">
        <v>107</v>
      </c>
      <c r="L405" s="19">
        <v>893</v>
      </c>
      <c r="M405" s="19">
        <v>84</v>
      </c>
      <c r="N405" s="19">
        <v>57</v>
      </c>
      <c r="O405" s="19">
        <f t="shared" si="12"/>
        <v>1402</v>
      </c>
      <c r="P405" s="19">
        <f t="shared" si="13"/>
        <v>2389</v>
      </c>
      <c r="Q405" t="s">
        <v>23</v>
      </c>
      <c r="R405" t="s">
        <v>63</v>
      </c>
      <c r="T405">
        <v>1</v>
      </c>
      <c r="U405" s="19">
        <v>1702</v>
      </c>
      <c r="V405">
        <v>0</v>
      </c>
      <c r="W405" s="19">
        <v>0</v>
      </c>
      <c r="X405">
        <v>0</v>
      </c>
      <c r="Y405" s="19">
        <v>0</v>
      </c>
      <c r="Z405">
        <v>0</v>
      </c>
      <c r="AA405" s="19">
        <v>0</v>
      </c>
      <c r="AB405">
        <v>1</v>
      </c>
      <c r="AC405" s="19">
        <v>928</v>
      </c>
      <c r="AD405">
        <v>0</v>
      </c>
      <c r="AE405" s="19">
        <v>0</v>
      </c>
      <c r="AF405">
        <v>0</v>
      </c>
      <c r="AG405" s="19">
        <v>0</v>
      </c>
      <c r="AH405">
        <v>1</v>
      </c>
      <c r="AI405" s="19">
        <v>217</v>
      </c>
      <c r="AJ405">
        <v>1</v>
      </c>
      <c r="AK405" s="19">
        <v>108</v>
      </c>
      <c r="AL405">
        <v>1</v>
      </c>
      <c r="AM405" s="19">
        <v>217</v>
      </c>
      <c r="AN405">
        <v>1</v>
      </c>
      <c r="AO405" s="19">
        <v>232</v>
      </c>
      <c r="AP405">
        <v>1</v>
      </c>
      <c r="AQ405" s="19">
        <v>387</v>
      </c>
    </row>
    <row r="406" spans="1:43" x14ac:dyDescent="0.35">
      <c r="A406" s="18">
        <v>45694</v>
      </c>
      <c r="B406" t="s">
        <v>58</v>
      </c>
      <c r="C406" t="s">
        <v>53</v>
      </c>
      <c r="D406">
        <v>7</v>
      </c>
      <c r="E406">
        <v>2</v>
      </c>
      <c r="F406">
        <v>5</v>
      </c>
      <c r="G406" s="19">
        <v>3991</v>
      </c>
      <c r="H406" s="19">
        <v>2769</v>
      </c>
      <c r="I406" s="19">
        <v>1222</v>
      </c>
      <c r="J406" s="19">
        <v>261</v>
      </c>
      <c r="K406" s="19">
        <v>107</v>
      </c>
      <c r="L406" s="19">
        <v>893</v>
      </c>
      <c r="M406" s="19">
        <v>88</v>
      </c>
      <c r="N406" s="19">
        <v>57</v>
      </c>
      <c r="O406" s="19">
        <f t="shared" si="12"/>
        <v>1406</v>
      </c>
      <c r="P406" s="19">
        <f t="shared" si="13"/>
        <v>2585</v>
      </c>
      <c r="Q406" t="s">
        <v>23</v>
      </c>
      <c r="R406" t="s">
        <v>63</v>
      </c>
      <c r="T406">
        <v>1</v>
      </c>
      <c r="U406" s="19">
        <v>1792</v>
      </c>
      <c r="V406">
        <v>0</v>
      </c>
      <c r="W406" s="19">
        <v>0</v>
      </c>
      <c r="X406">
        <v>0</v>
      </c>
      <c r="Y406" s="19">
        <v>0</v>
      </c>
      <c r="Z406">
        <v>0</v>
      </c>
      <c r="AA406" s="19">
        <v>0</v>
      </c>
      <c r="AB406">
        <v>1</v>
      </c>
      <c r="AC406" s="19">
        <v>977</v>
      </c>
      <c r="AD406">
        <v>0</v>
      </c>
      <c r="AE406" s="19">
        <v>0</v>
      </c>
      <c r="AF406">
        <v>0</v>
      </c>
      <c r="AG406" s="19">
        <v>0</v>
      </c>
      <c r="AH406">
        <v>1</v>
      </c>
      <c r="AI406" s="19">
        <v>228</v>
      </c>
      <c r="AJ406">
        <v>1</v>
      </c>
      <c r="AK406" s="19">
        <v>114</v>
      </c>
      <c r="AL406">
        <v>1</v>
      </c>
      <c r="AM406" s="19">
        <v>228</v>
      </c>
      <c r="AN406">
        <v>1</v>
      </c>
      <c r="AO406" s="19">
        <v>244</v>
      </c>
      <c r="AP406">
        <v>1</v>
      </c>
      <c r="AQ406" s="19">
        <v>407</v>
      </c>
    </row>
    <row r="407" spans="1:43" x14ac:dyDescent="0.35">
      <c r="A407" s="18">
        <v>45695</v>
      </c>
      <c r="B407" t="s">
        <v>59</v>
      </c>
      <c r="C407" t="s">
        <v>53</v>
      </c>
      <c r="D407">
        <v>8</v>
      </c>
      <c r="E407">
        <v>3</v>
      </c>
      <c r="F407">
        <v>5</v>
      </c>
      <c r="G407" s="19">
        <v>4190</v>
      </c>
      <c r="H407" s="19">
        <v>2977</v>
      </c>
      <c r="I407" s="19">
        <v>1213</v>
      </c>
      <c r="J407" s="19">
        <v>261</v>
      </c>
      <c r="K407" s="19">
        <v>107</v>
      </c>
      <c r="L407" s="19">
        <v>893</v>
      </c>
      <c r="M407" s="19">
        <v>92</v>
      </c>
      <c r="N407" s="19">
        <v>65</v>
      </c>
      <c r="O407" s="19">
        <f t="shared" si="12"/>
        <v>1418</v>
      </c>
      <c r="P407" s="19">
        <f t="shared" si="13"/>
        <v>2772</v>
      </c>
      <c r="Q407" t="s">
        <v>23</v>
      </c>
      <c r="R407" t="s">
        <v>63</v>
      </c>
      <c r="T407">
        <v>1</v>
      </c>
      <c r="U407" s="19">
        <v>1780</v>
      </c>
      <c r="V407">
        <v>0</v>
      </c>
      <c r="W407" s="19">
        <v>0</v>
      </c>
      <c r="X407">
        <v>0</v>
      </c>
      <c r="Y407" s="19">
        <v>0</v>
      </c>
      <c r="Z407">
        <v>0</v>
      </c>
      <c r="AA407" s="19">
        <v>0</v>
      </c>
      <c r="AB407">
        <v>1</v>
      </c>
      <c r="AC407" s="19">
        <v>971</v>
      </c>
      <c r="AD407">
        <v>0</v>
      </c>
      <c r="AE407" s="19">
        <v>0</v>
      </c>
      <c r="AF407">
        <v>0</v>
      </c>
      <c r="AG407" s="19">
        <v>0</v>
      </c>
      <c r="AH407">
        <v>2</v>
      </c>
      <c r="AI407" s="19">
        <v>453</v>
      </c>
      <c r="AJ407">
        <v>1</v>
      </c>
      <c r="AK407" s="19">
        <v>113</v>
      </c>
      <c r="AL407">
        <v>1</v>
      </c>
      <c r="AM407" s="19">
        <v>226</v>
      </c>
      <c r="AN407">
        <v>1</v>
      </c>
      <c r="AO407" s="19">
        <v>243</v>
      </c>
      <c r="AP407">
        <v>1</v>
      </c>
      <c r="AQ407" s="19">
        <v>404</v>
      </c>
    </row>
    <row r="408" spans="1:43" x14ac:dyDescent="0.35">
      <c r="A408" s="18">
        <v>45696</v>
      </c>
      <c r="B408" t="s">
        <v>60</v>
      </c>
      <c r="C408" t="s">
        <v>61</v>
      </c>
      <c r="D408">
        <v>10</v>
      </c>
      <c r="E408">
        <v>5</v>
      </c>
      <c r="F408">
        <v>5</v>
      </c>
      <c r="G408" s="19">
        <v>5188</v>
      </c>
      <c r="H408" s="19">
        <v>4063</v>
      </c>
      <c r="I408" s="19">
        <v>1125</v>
      </c>
      <c r="J408" s="19">
        <v>261</v>
      </c>
      <c r="K408" s="19">
        <v>107</v>
      </c>
      <c r="L408" s="19">
        <v>893</v>
      </c>
      <c r="M408" s="19">
        <v>114</v>
      </c>
      <c r="N408" s="19">
        <v>81</v>
      </c>
      <c r="O408" s="19">
        <f t="shared" si="12"/>
        <v>1456</v>
      </c>
      <c r="P408" s="19">
        <f t="shared" si="13"/>
        <v>3732</v>
      </c>
      <c r="Q408" t="s">
        <v>23</v>
      </c>
      <c r="R408" t="s">
        <v>63</v>
      </c>
      <c r="T408">
        <v>1</v>
      </c>
      <c r="U408" s="19">
        <v>1649</v>
      </c>
      <c r="V408">
        <v>0</v>
      </c>
      <c r="W408" s="19">
        <v>0</v>
      </c>
      <c r="X408">
        <v>0</v>
      </c>
      <c r="Y408" s="19">
        <v>0</v>
      </c>
      <c r="Z408">
        <v>1</v>
      </c>
      <c r="AA408" s="19">
        <v>1200</v>
      </c>
      <c r="AB408">
        <v>1</v>
      </c>
      <c r="AC408" s="19">
        <v>900</v>
      </c>
      <c r="AD408">
        <v>0</v>
      </c>
      <c r="AE408" s="19">
        <v>0</v>
      </c>
      <c r="AF408">
        <v>0</v>
      </c>
      <c r="AG408" s="19">
        <v>0</v>
      </c>
      <c r="AH408">
        <v>2</v>
      </c>
      <c r="AI408" s="19">
        <v>420</v>
      </c>
      <c r="AJ408">
        <v>2</v>
      </c>
      <c r="AK408" s="19">
        <v>210</v>
      </c>
      <c r="AL408">
        <v>1</v>
      </c>
      <c r="AM408" s="19">
        <v>210</v>
      </c>
      <c r="AN408">
        <v>1</v>
      </c>
      <c r="AO408" s="19">
        <v>225</v>
      </c>
      <c r="AP408">
        <v>1</v>
      </c>
      <c r="AQ408" s="19">
        <v>375</v>
      </c>
    </row>
    <row r="409" spans="1:43" x14ac:dyDescent="0.35">
      <c r="A409" s="18">
        <v>45697</v>
      </c>
      <c r="B409" t="s">
        <v>62</v>
      </c>
      <c r="C409" t="s">
        <v>61</v>
      </c>
      <c r="D409">
        <v>9</v>
      </c>
      <c r="E409">
        <v>4</v>
      </c>
      <c r="F409">
        <v>5</v>
      </c>
      <c r="G409" s="19">
        <v>4789</v>
      </c>
      <c r="H409" s="19">
        <v>3729</v>
      </c>
      <c r="I409" s="19">
        <v>1060</v>
      </c>
      <c r="J409" s="19">
        <v>261</v>
      </c>
      <c r="K409" s="19">
        <v>107</v>
      </c>
      <c r="L409" s="19">
        <v>893</v>
      </c>
      <c r="M409" s="19">
        <v>106</v>
      </c>
      <c r="N409" s="19">
        <v>73</v>
      </c>
      <c r="O409" s="19">
        <f t="shared" si="12"/>
        <v>1440</v>
      </c>
      <c r="P409" s="19">
        <f t="shared" si="13"/>
        <v>3349</v>
      </c>
      <c r="Q409" t="s">
        <v>23</v>
      </c>
      <c r="R409" t="s">
        <v>63</v>
      </c>
      <c r="T409">
        <v>1</v>
      </c>
      <c r="U409" s="19">
        <v>1554</v>
      </c>
      <c r="V409">
        <v>0</v>
      </c>
      <c r="W409" s="19">
        <v>0</v>
      </c>
      <c r="X409">
        <v>0</v>
      </c>
      <c r="Y409" s="19">
        <v>0</v>
      </c>
      <c r="Z409">
        <v>1</v>
      </c>
      <c r="AA409" s="19">
        <v>1130</v>
      </c>
      <c r="AB409">
        <v>1</v>
      </c>
      <c r="AC409" s="19">
        <v>848</v>
      </c>
      <c r="AD409">
        <v>0</v>
      </c>
      <c r="AE409" s="19">
        <v>0</v>
      </c>
      <c r="AF409">
        <v>0</v>
      </c>
      <c r="AG409" s="19">
        <v>0</v>
      </c>
      <c r="AH409">
        <v>2</v>
      </c>
      <c r="AI409" s="19">
        <v>396</v>
      </c>
      <c r="AJ409">
        <v>1</v>
      </c>
      <c r="AK409" s="19">
        <v>99</v>
      </c>
      <c r="AL409">
        <v>1</v>
      </c>
      <c r="AM409" s="19">
        <v>198</v>
      </c>
      <c r="AN409">
        <v>1</v>
      </c>
      <c r="AO409" s="19">
        <v>212</v>
      </c>
      <c r="AP409">
        <v>1</v>
      </c>
      <c r="AQ409" s="19">
        <v>353</v>
      </c>
    </row>
    <row r="410" spans="1:43" x14ac:dyDescent="0.35">
      <c r="A410" s="18">
        <v>45698</v>
      </c>
      <c r="B410" t="s">
        <v>52</v>
      </c>
      <c r="C410" t="s">
        <v>53</v>
      </c>
      <c r="D410">
        <v>6</v>
      </c>
      <c r="E410">
        <v>2</v>
      </c>
      <c r="F410">
        <v>4</v>
      </c>
      <c r="G410" s="19">
        <v>3392</v>
      </c>
      <c r="H410" s="19">
        <v>2621</v>
      </c>
      <c r="I410" s="19">
        <v>771</v>
      </c>
      <c r="J410" s="19">
        <v>261</v>
      </c>
      <c r="K410" s="19">
        <v>107</v>
      </c>
      <c r="L410" s="19">
        <v>893</v>
      </c>
      <c r="M410" s="19">
        <v>75</v>
      </c>
      <c r="N410" s="19">
        <v>49</v>
      </c>
      <c r="O410" s="19">
        <f t="shared" si="12"/>
        <v>1385</v>
      </c>
      <c r="P410" s="19">
        <f t="shared" si="13"/>
        <v>2007</v>
      </c>
      <c r="Q410" t="s">
        <v>23</v>
      </c>
      <c r="R410" t="s">
        <v>63</v>
      </c>
      <c r="T410">
        <v>1</v>
      </c>
      <c r="U410" s="19">
        <v>1696</v>
      </c>
      <c r="V410">
        <v>0</v>
      </c>
      <c r="W410" s="19">
        <v>0</v>
      </c>
      <c r="X410">
        <v>0</v>
      </c>
      <c r="Y410" s="19">
        <v>0</v>
      </c>
      <c r="Z410">
        <v>0</v>
      </c>
      <c r="AA410" s="19">
        <v>0</v>
      </c>
      <c r="AB410">
        <v>1</v>
      </c>
      <c r="AC410" s="19">
        <v>925</v>
      </c>
      <c r="AD410">
        <v>0</v>
      </c>
      <c r="AE410" s="19">
        <v>0</v>
      </c>
      <c r="AF410">
        <v>0</v>
      </c>
      <c r="AG410" s="19">
        <v>0</v>
      </c>
      <c r="AH410">
        <v>1</v>
      </c>
      <c r="AI410" s="19">
        <v>216</v>
      </c>
      <c r="AJ410">
        <v>1</v>
      </c>
      <c r="AK410" s="19">
        <v>108</v>
      </c>
      <c r="AL410">
        <v>1</v>
      </c>
      <c r="AM410" s="19">
        <v>216</v>
      </c>
      <c r="AN410">
        <v>1</v>
      </c>
      <c r="AO410" s="19">
        <v>231</v>
      </c>
      <c r="AP410">
        <v>0</v>
      </c>
      <c r="AQ410" s="19">
        <v>0</v>
      </c>
    </row>
    <row r="411" spans="1:43" x14ac:dyDescent="0.35">
      <c r="A411" s="18">
        <v>45699</v>
      </c>
      <c r="B411" t="s">
        <v>56</v>
      </c>
      <c r="C411" t="s">
        <v>53</v>
      </c>
      <c r="D411">
        <v>7</v>
      </c>
      <c r="E411">
        <v>2</v>
      </c>
      <c r="F411">
        <v>5</v>
      </c>
      <c r="G411" s="19">
        <v>3592</v>
      </c>
      <c r="H411" s="19">
        <v>2492</v>
      </c>
      <c r="I411" s="19">
        <v>1100</v>
      </c>
      <c r="J411" s="19">
        <v>261</v>
      </c>
      <c r="K411" s="19">
        <v>107</v>
      </c>
      <c r="L411" s="19">
        <v>893</v>
      </c>
      <c r="M411" s="19">
        <v>79</v>
      </c>
      <c r="N411" s="19">
        <v>57</v>
      </c>
      <c r="O411" s="19">
        <f t="shared" si="12"/>
        <v>1397</v>
      </c>
      <c r="P411" s="19">
        <f t="shared" si="13"/>
        <v>2195</v>
      </c>
      <c r="Q411" t="s">
        <v>23</v>
      </c>
      <c r="R411" t="s">
        <v>63</v>
      </c>
      <c r="T411">
        <v>1</v>
      </c>
      <c r="U411" s="19">
        <v>1613</v>
      </c>
      <c r="V411">
        <v>0</v>
      </c>
      <c r="W411" s="19">
        <v>0</v>
      </c>
      <c r="X411">
        <v>0</v>
      </c>
      <c r="Y411" s="19">
        <v>0</v>
      </c>
      <c r="Z411">
        <v>0</v>
      </c>
      <c r="AA411" s="19">
        <v>0</v>
      </c>
      <c r="AB411">
        <v>1</v>
      </c>
      <c r="AC411" s="19">
        <v>880</v>
      </c>
      <c r="AD411">
        <v>0</v>
      </c>
      <c r="AE411" s="19">
        <v>0</v>
      </c>
      <c r="AF411">
        <v>0</v>
      </c>
      <c r="AG411" s="19">
        <v>0</v>
      </c>
      <c r="AH411">
        <v>1</v>
      </c>
      <c r="AI411" s="19">
        <v>205</v>
      </c>
      <c r="AJ411">
        <v>1</v>
      </c>
      <c r="AK411" s="19">
        <v>103</v>
      </c>
      <c r="AL411">
        <v>1</v>
      </c>
      <c r="AM411" s="19">
        <v>205</v>
      </c>
      <c r="AN411">
        <v>1</v>
      </c>
      <c r="AO411" s="19">
        <v>220</v>
      </c>
      <c r="AP411">
        <v>1</v>
      </c>
      <c r="AQ411" s="19">
        <v>367</v>
      </c>
    </row>
    <row r="412" spans="1:43" x14ac:dyDescent="0.35">
      <c r="A412" s="18">
        <v>45700</v>
      </c>
      <c r="B412" t="s">
        <v>57</v>
      </c>
      <c r="C412" t="s">
        <v>53</v>
      </c>
      <c r="D412">
        <v>7</v>
      </c>
      <c r="E412">
        <v>2</v>
      </c>
      <c r="F412">
        <v>5</v>
      </c>
      <c r="G412" s="19">
        <v>3791</v>
      </c>
      <c r="H412" s="19">
        <v>2630</v>
      </c>
      <c r="I412" s="19">
        <v>1161</v>
      </c>
      <c r="J412" s="19">
        <v>261</v>
      </c>
      <c r="K412" s="19">
        <v>107</v>
      </c>
      <c r="L412" s="19">
        <v>893</v>
      </c>
      <c r="M412" s="19">
        <v>84</v>
      </c>
      <c r="N412" s="19">
        <v>57</v>
      </c>
      <c r="O412" s="19">
        <f t="shared" si="12"/>
        <v>1402</v>
      </c>
      <c r="P412" s="19">
        <f t="shared" si="13"/>
        <v>2389</v>
      </c>
      <c r="Q412" t="s">
        <v>23</v>
      </c>
      <c r="R412" t="s">
        <v>63</v>
      </c>
      <c r="T412">
        <v>1</v>
      </c>
      <c r="U412" s="19">
        <v>1702</v>
      </c>
      <c r="V412">
        <v>0</v>
      </c>
      <c r="W412" s="19">
        <v>0</v>
      </c>
      <c r="X412">
        <v>0</v>
      </c>
      <c r="Y412" s="19">
        <v>0</v>
      </c>
      <c r="Z412">
        <v>0</v>
      </c>
      <c r="AA412" s="19">
        <v>0</v>
      </c>
      <c r="AB412">
        <v>1</v>
      </c>
      <c r="AC412" s="19">
        <v>928</v>
      </c>
      <c r="AD412">
        <v>0</v>
      </c>
      <c r="AE412" s="19">
        <v>0</v>
      </c>
      <c r="AF412">
        <v>0</v>
      </c>
      <c r="AG412" s="19">
        <v>0</v>
      </c>
      <c r="AH412">
        <v>1</v>
      </c>
      <c r="AI412" s="19">
        <v>217</v>
      </c>
      <c r="AJ412">
        <v>1</v>
      </c>
      <c r="AK412" s="19">
        <v>108</v>
      </c>
      <c r="AL412">
        <v>1</v>
      </c>
      <c r="AM412" s="19">
        <v>217</v>
      </c>
      <c r="AN412">
        <v>1</v>
      </c>
      <c r="AO412" s="19">
        <v>232</v>
      </c>
      <c r="AP412">
        <v>1</v>
      </c>
      <c r="AQ412" s="19">
        <v>387</v>
      </c>
    </row>
    <row r="413" spans="1:43" x14ac:dyDescent="0.35">
      <c r="A413" s="18">
        <v>45701</v>
      </c>
      <c r="B413" t="s">
        <v>58</v>
      </c>
      <c r="C413" t="s">
        <v>53</v>
      </c>
      <c r="D413">
        <v>7</v>
      </c>
      <c r="E413">
        <v>2</v>
      </c>
      <c r="F413">
        <v>5</v>
      </c>
      <c r="G413" s="19">
        <v>3991</v>
      </c>
      <c r="H413" s="19">
        <v>2769</v>
      </c>
      <c r="I413" s="19">
        <v>1222</v>
      </c>
      <c r="J413" s="19">
        <v>261</v>
      </c>
      <c r="K413" s="19">
        <v>107</v>
      </c>
      <c r="L413" s="19">
        <v>893</v>
      </c>
      <c r="M413" s="19">
        <v>88</v>
      </c>
      <c r="N413" s="19">
        <v>57</v>
      </c>
      <c r="O413" s="19">
        <f t="shared" si="12"/>
        <v>1406</v>
      </c>
      <c r="P413" s="19">
        <f t="shared" si="13"/>
        <v>2585</v>
      </c>
      <c r="Q413" t="s">
        <v>23</v>
      </c>
      <c r="R413" t="s">
        <v>63</v>
      </c>
      <c r="T413">
        <v>1</v>
      </c>
      <c r="U413" s="19">
        <v>1792</v>
      </c>
      <c r="V413">
        <v>0</v>
      </c>
      <c r="W413" s="19">
        <v>0</v>
      </c>
      <c r="X413">
        <v>0</v>
      </c>
      <c r="Y413" s="19">
        <v>0</v>
      </c>
      <c r="Z413">
        <v>0</v>
      </c>
      <c r="AA413" s="19">
        <v>0</v>
      </c>
      <c r="AB413">
        <v>1</v>
      </c>
      <c r="AC413" s="19">
        <v>977</v>
      </c>
      <c r="AD413">
        <v>0</v>
      </c>
      <c r="AE413" s="19">
        <v>0</v>
      </c>
      <c r="AF413">
        <v>0</v>
      </c>
      <c r="AG413" s="19">
        <v>0</v>
      </c>
      <c r="AH413">
        <v>1</v>
      </c>
      <c r="AI413" s="19">
        <v>228</v>
      </c>
      <c r="AJ413">
        <v>1</v>
      </c>
      <c r="AK413" s="19">
        <v>114</v>
      </c>
      <c r="AL413">
        <v>1</v>
      </c>
      <c r="AM413" s="19">
        <v>228</v>
      </c>
      <c r="AN413">
        <v>1</v>
      </c>
      <c r="AO413" s="19">
        <v>244</v>
      </c>
      <c r="AP413">
        <v>1</v>
      </c>
      <c r="AQ413" s="19">
        <v>407</v>
      </c>
    </row>
    <row r="414" spans="1:43" x14ac:dyDescent="0.35">
      <c r="A414" s="18">
        <v>45702</v>
      </c>
      <c r="B414" t="s">
        <v>59</v>
      </c>
      <c r="C414" t="s">
        <v>53</v>
      </c>
      <c r="D414">
        <v>8</v>
      </c>
      <c r="E414">
        <v>4</v>
      </c>
      <c r="F414">
        <v>4</v>
      </c>
      <c r="G414" s="19">
        <v>4190</v>
      </c>
      <c r="H414" s="19">
        <v>3523</v>
      </c>
      <c r="I414" s="19">
        <v>667</v>
      </c>
      <c r="J414" s="19">
        <v>261</v>
      </c>
      <c r="K414" s="19">
        <v>107</v>
      </c>
      <c r="L414" s="19">
        <v>893</v>
      </c>
      <c r="M414" s="19">
        <v>92</v>
      </c>
      <c r="N414" s="19">
        <v>65</v>
      </c>
      <c r="O414" s="19">
        <f t="shared" si="12"/>
        <v>1418</v>
      </c>
      <c r="P414" s="19">
        <f t="shared" si="13"/>
        <v>2772</v>
      </c>
      <c r="Q414" t="s">
        <v>23</v>
      </c>
      <c r="R414" t="s">
        <v>63</v>
      </c>
      <c r="T414">
        <v>1</v>
      </c>
      <c r="U414" s="19">
        <v>1468</v>
      </c>
      <c r="V414">
        <v>0</v>
      </c>
      <c r="W414" s="19">
        <v>0</v>
      </c>
      <c r="X414">
        <v>0</v>
      </c>
      <c r="Y414" s="19">
        <v>0</v>
      </c>
      <c r="Z414">
        <v>1</v>
      </c>
      <c r="AA414" s="19">
        <v>1068</v>
      </c>
      <c r="AB414">
        <v>1</v>
      </c>
      <c r="AC414" s="19">
        <v>801</v>
      </c>
      <c r="AD414">
        <v>0</v>
      </c>
      <c r="AE414" s="19">
        <v>0</v>
      </c>
      <c r="AF414">
        <v>0</v>
      </c>
      <c r="AG414" s="19">
        <v>0</v>
      </c>
      <c r="AH414">
        <v>2</v>
      </c>
      <c r="AI414" s="19">
        <v>374</v>
      </c>
      <c r="AJ414">
        <v>1</v>
      </c>
      <c r="AK414" s="19">
        <v>93</v>
      </c>
      <c r="AL414">
        <v>1</v>
      </c>
      <c r="AM414" s="19">
        <v>187</v>
      </c>
      <c r="AN414">
        <v>1</v>
      </c>
      <c r="AO414" s="19">
        <v>200</v>
      </c>
      <c r="AP414">
        <v>0</v>
      </c>
      <c r="AQ414" s="19">
        <v>0</v>
      </c>
    </row>
    <row r="415" spans="1:43" x14ac:dyDescent="0.35">
      <c r="A415" s="18">
        <v>45703</v>
      </c>
      <c r="B415" t="s">
        <v>60</v>
      </c>
      <c r="C415" t="s">
        <v>61</v>
      </c>
      <c r="D415">
        <v>10</v>
      </c>
      <c r="E415">
        <v>5</v>
      </c>
      <c r="F415">
        <v>5</v>
      </c>
      <c r="G415" s="19">
        <v>5188</v>
      </c>
      <c r="H415" s="19">
        <v>4431</v>
      </c>
      <c r="I415" s="19">
        <v>757</v>
      </c>
      <c r="J415" s="19">
        <v>261</v>
      </c>
      <c r="K415" s="19">
        <v>107</v>
      </c>
      <c r="L415" s="19">
        <v>893</v>
      </c>
      <c r="M415" s="19">
        <v>114</v>
      </c>
      <c r="N415" s="19">
        <v>81</v>
      </c>
      <c r="O415" s="19">
        <f t="shared" si="12"/>
        <v>1456</v>
      </c>
      <c r="P415" s="19">
        <f t="shared" si="13"/>
        <v>3732</v>
      </c>
      <c r="Q415" t="s">
        <v>25</v>
      </c>
      <c r="R415" t="s">
        <v>63</v>
      </c>
      <c r="T415">
        <v>1</v>
      </c>
      <c r="U415" s="19">
        <v>1110</v>
      </c>
      <c r="V415">
        <v>0</v>
      </c>
      <c r="W415" s="19">
        <v>0</v>
      </c>
      <c r="X415">
        <v>1</v>
      </c>
      <c r="Y415" s="19">
        <v>1766</v>
      </c>
      <c r="Z415">
        <v>1</v>
      </c>
      <c r="AA415" s="19">
        <v>807</v>
      </c>
      <c r="AB415">
        <v>1</v>
      </c>
      <c r="AC415" s="19">
        <v>606</v>
      </c>
      <c r="AD415">
        <v>0</v>
      </c>
      <c r="AE415" s="19">
        <v>0</v>
      </c>
      <c r="AF415">
        <v>0</v>
      </c>
      <c r="AG415" s="19">
        <v>0</v>
      </c>
      <c r="AH415">
        <v>2</v>
      </c>
      <c r="AI415" s="19">
        <v>283</v>
      </c>
      <c r="AJ415">
        <v>1</v>
      </c>
      <c r="AK415" s="19">
        <v>71</v>
      </c>
      <c r="AL415">
        <v>1</v>
      </c>
      <c r="AM415" s="19">
        <v>141</v>
      </c>
      <c r="AN415">
        <v>1</v>
      </c>
      <c r="AO415" s="19">
        <v>151</v>
      </c>
      <c r="AP415">
        <v>1</v>
      </c>
      <c r="AQ415" s="19">
        <v>252</v>
      </c>
    </row>
    <row r="416" spans="1:43" x14ac:dyDescent="0.35">
      <c r="A416" s="18">
        <v>45704</v>
      </c>
      <c r="B416" t="s">
        <v>62</v>
      </c>
      <c r="C416" t="s">
        <v>61</v>
      </c>
      <c r="D416">
        <v>9</v>
      </c>
      <c r="E416">
        <v>4</v>
      </c>
      <c r="F416">
        <v>5</v>
      </c>
      <c r="G416" s="19">
        <v>4789</v>
      </c>
      <c r="H416" s="19">
        <v>3729</v>
      </c>
      <c r="I416" s="19">
        <v>1060</v>
      </c>
      <c r="J416" s="19">
        <v>261</v>
      </c>
      <c r="K416" s="19">
        <v>107</v>
      </c>
      <c r="L416" s="19">
        <v>893</v>
      </c>
      <c r="M416" s="19">
        <v>106</v>
      </c>
      <c r="N416" s="19">
        <v>73</v>
      </c>
      <c r="O416" s="19">
        <f t="shared" si="12"/>
        <v>1440</v>
      </c>
      <c r="P416" s="19">
        <f t="shared" si="13"/>
        <v>3349</v>
      </c>
      <c r="Q416" t="s">
        <v>23</v>
      </c>
      <c r="R416" t="s">
        <v>63</v>
      </c>
      <c r="T416">
        <v>1</v>
      </c>
      <c r="U416" s="19">
        <v>1554</v>
      </c>
      <c r="V416">
        <v>0</v>
      </c>
      <c r="W416" s="19">
        <v>0</v>
      </c>
      <c r="X416">
        <v>0</v>
      </c>
      <c r="Y416" s="19">
        <v>0</v>
      </c>
      <c r="Z416">
        <v>1</v>
      </c>
      <c r="AA416" s="19">
        <v>1130</v>
      </c>
      <c r="AB416">
        <v>1</v>
      </c>
      <c r="AC416" s="19">
        <v>848</v>
      </c>
      <c r="AD416">
        <v>0</v>
      </c>
      <c r="AE416" s="19">
        <v>0</v>
      </c>
      <c r="AF416">
        <v>0</v>
      </c>
      <c r="AG416" s="19">
        <v>0</v>
      </c>
      <c r="AH416">
        <v>2</v>
      </c>
      <c r="AI416" s="19">
        <v>396</v>
      </c>
      <c r="AJ416">
        <v>1</v>
      </c>
      <c r="AK416" s="19">
        <v>99</v>
      </c>
      <c r="AL416">
        <v>1</v>
      </c>
      <c r="AM416" s="19">
        <v>198</v>
      </c>
      <c r="AN416">
        <v>1</v>
      </c>
      <c r="AO416" s="19">
        <v>212</v>
      </c>
      <c r="AP416">
        <v>1</v>
      </c>
      <c r="AQ416" s="19">
        <v>353</v>
      </c>
    </row>
    <row r="417" spans="1:43" x14ac:dyDescent="0.35">
      <c r="A417" s="18">
        <v>45705</v>
      </c>
      <c r="B417" t="s">
        <v>52</v>
      </c>
      <c r="C417" t="s">
        <v>53</v>
      </c>
      <c r="D417">
        <v>6</v>
      </c>
      <c r="E417">
        <v>2</v>
      </c>
      <c r="F417">
        <v>4</v>
      </c>
      <c r="G417" s="19">
        <v>3392</v>
      </c>
      <c r="H417" s="19">
        <v>2621</v>
      </c>
      <c r="I417" s="19">
        <v>771</v>
      </c>
      <c r="J417" s="19">
        <v>261</v>
      </c>
      <c r="K417" s="19">
        <v>107</v>
      </c>
      <c r="L417" s="19">
        <v>893</v>
      </c>
      <c r="M417" s="19">
        <v>75</v>
      </c>
      <c r="N417" s="19">
        <v>49</v>
      </c>
      <c r="O417" s="19">
        <f t="shared" si="12"/>
        <v>1385</v>
      </c>
      <c r="P417" s="19">
        <f t="shared" si="13"/>
        <v>2007</v>
      </c>
      <c r="Q417" t="s">
        <v>23</v>
      </c>
      <c r="R417" t="s">
        <v>63</v>
      </c>
      <c r="T417">
        <v>1</v>
      </c>
      <c r="U417" s="19">
        <v>1696</v>
      </c>
      <c r="V417">
        <v>0</v>
      </c>
      <c r="W417" s="19">
        <v>0</v>
      </c>
      <c r="X417">
        <v>0</v>
      </c>
      <c r="Y417" s="19">
        <v>0</v>
      </c>
      <c r="Z417">
        <v>0</v>
      </c>
      <c r="AA417" s="19">
        <v>0</v>
      </c>
      <c r="AB417">
        <v>1</v>
      </c>
      <c r="AC417" s="19">
        <v>925</v>
      </c>
      <c r="AD417">
        <v>0</v>
      </c>
      <c r="AE417" s="19">
        <v>0</v>
      </c>
      <c r="AF417">
        <v>0</v>
      </c>
      <c r="AG417" s="19">
        <v>0</v>
      </c>
      <c r="AH417">
        <v>1</v>
      </c>
      <c r="AI417" s="19">
        <v>216</v>
      </c>
      <c r="AJ417">
        <v>1</v>
      </c>
      <c r="AK417" s="19">
        <v>108</v>
      </c>
      <c r="AL417">
        <v>1</v>
      </c>
      <c r="AM417" s="19">
        <v>216</v>
      </c>
      <c r="AN417">
        <v>1</v>
      </c>
      <c r="AO417" s="19">
        <v>231</v>
      </c>
      <c r="AP417">
        <v>0</v>
      </c>
      <c r="AQ417" s="19">
        <v>0</v>
      </c>
    </row>
    <row r="418" spans="1:43" x14ac:dyDescent="0.35">
      <c r="A418" s="18">
        <v>45706</v>
      </c>
      <c r="B418" t="s">
        <v>56</v>
      </c>
      <c r="C418" t="s">
        <v>53</v>
      </c>
      <c r="D418">
        <v>7</v>
      </c>
      <c r="E418">
        <v>2</v>
      </c>
      <c r="F418">
        <v>5</v>
      </c>
      <c r="G418" s="19">
        <v>3592</v>
      </c>
      <c r="H418" s="19">
        <v>2492</v>
      </c>
      <c r="I418" s="19">
        <v>1100</v>
      </c>
      <c r="J418" s="19">
        <v>261</v>
      </c>
      <c r="K418" s="19">
        <v>107</v>
      </c>
      <c r="L418" s="19">
        <v>893</v>
      </c>
      <c r="M418" s="19">
        <v>79</v>
      </c>
      <c r="N418" s="19">
        <v>57</v>
      </c>
      <c r="O418" s="19">
        <f t="shared" si="12"/>
        <v>1397</v>
      </c>
      <c r="P418" s="19">
        <f t="shared" si="13"/>
        <v>2195</v>
      </c>
      <c r="Q418" t="s">
        <v>23</v>
      </c>
      <c r="R418" t="s">
        <v>63</v>
      </c>
      <c r="T418">
        <v>1</v>
      </c>
      <c r="U418" s="19">
        <v>1613</v>
      </c>
      <c r="V418">
        <v>0</v>
      </c>
      <c r="W418" s="19">
        <v>0</v>
      </c>
      <c r="X418">
        <v>0</v>
      </c>
      <c r="Y418" s="19">
        <v>0</v>
      </c>
      <c r="Z418">
        <v>0</v>
      </c>
      <c r="AA418" s="19">
        <v>0</v>
      </c>
      <c r="AB418">
        <v>1</v>
      </c>
      <c r="AC418" s="19">
        <v>880</v>
      </c>
      <c r="AD418">
        <v>0</v>
      </c>
      <c r="AE418" s="19">
        <v>0</v>
      </c>
      <c r="AF418">
        <v>0</v>
      </c>
      <c r="AG418" s="19">
        <v>0</v>
      </c>
      <c r="AH418">
        <v>1</v>
      </c>
      <c r="AI418" s="19">
        <v>205</v>
      </c>
      <c r="AJ418">
        <v>1</v>
      </c>
      <c r="AK418" s="19">
        <v>103</v>
      </c>
      <c r="AL418">
        <v>1</v>
      </c>
      <c r="AM418" s="19">
        <v>205</v>
      </c>
      <c r="AN418">
        <v>1</v>
      </c>
      <c r="AO418" s="19">
        <v>220</v>
      </c>
      <c r="AP418">
        <v>1</v>
      </c>
      <c r="AQ418" s="19">
        <v>367</v>
      </c>
    </row>
    <row r="419" spans="1:43" x14ac:dyDescent="0.35">
      <c r="A419" s="18">
        <v>45707</v>
      </c>
      <c r="B419" t="s">
        <v>57</v>
      </c>
      <c r="C419" t="s">
        <v>53</v>
      </c>
      <c r="D419">
        <v>7</v>
      </c>
      <c r="E419">
        <v>2</v>
      </c>
      <c r="F419">
        <v>5</v>
      </c>
      <c r="G419" s="19">
        <v>3791</v>
      </c>
      <c r="H419" s="19">
        <v>2630</v>
      </c>
      <c r="I419" s="19">
        <v>1161</v>
      </c>
      <c r="J419" s="19">
        <v>261</v>
      </c>
      <c r="K419" s="19">
        <v>107</v>
      </c>
      <c r="L419" s="19">
        <v>893</v>
      </c>
      <c r="M419" s="19">
        <v>84</v>
      </c>
      <c r="N419" s="19">
        <v>57</v>
      </c>
      <c r="O419" s="19">
        <f t="shared" si="12"/>
        <v>1402</v>
      </c>
      <c r="P419" s="19">
        <f t="shared" si="13"/>
        <v>2389</v>
      </c>
      <c r="Q419" t="s">
        <v>23</v>
      </c>
      <c r="R419" t="s">
        <v>63</v>
      </c>
      <c r="T419">
        <v>1</v>
      </c>
      <c r="U419" s="19">
        <v>1702</v>
      </c>
      <c r="V419">
        <v>0</v>
      </c>
      <c r="W419" s="19">
        <v>0</v>
      </c>
      <c r="X419">
        <v>0</v>
      </c>
      <c r="Y419" s="19">
        <v>0</v>
      </c>
      <c r="Z419">
        <v>0</v>
      </c>
      <c r="AA419" s="19">
        <v>0</v>
      </c>
      <c r="AB419">
        <v>1</v>
      </c>
      <c r="AC419" s="19">
        <v>928</v>
      </c>
      <c r="AD419">
        <v>0</v>
      </c>
      <c r="AE419" s="19">
        <v>0</v>
      </c>
      <c r="AF419">
        <v>0</v>
      </c>
      <c r="AG419" s="19">
        <v>0</v>
      </c>
      <c r="AH419">
        <v>1</v>
      </c>
      <c r="AI419" s="19">
        <v>217</v>
      </c>
      <c r="AJ419">
        <v>1</v>
      </c>
      <c r="AK419" s="19">
        <v>108</v>
      </c>
      <c r="AL419">
        <v>1</v>
      </c>
      <c r="AM419" s="19">
        <v>217</v>
      </c>
      <c r="AN419">
        <v>1</v>
      </c>
      <c r="AO419" s="19">
        <v>232</v>
      </c>
      <c r="AP419">
        <v>1</v>
      </c>
      <c r="AQ419" s="19">
        <v>387</v>
      </c>
    </row>
    <row r="420" spans="1:43" x14ac:dyDescent="0.35">
      <c r="A420" s="18">
        <v>45708</v>
      </c>
      <c r="B420" t="s">
        <v>58</v>
      </c>
      <c r="C420" t="s">
        <v>53</v>
      </c>
      <c r="D420">
        <v>7</v>
      </c>
      <c r="E420">
        <v>2</v>
      </c>
      <c r="F420">
        <v>5</v>
      </c>
      <c r="G420" s="19">
        <v>3991</v>
      </c>
      <c r="H420" s="19">
        <v>2769</v>
      </c>
      <c r="I420" s="19">
        <v>1222</v>
      </c>
      <c r="J420" s="19">
        <v>261</v>
      </c>
      <c r="K420" s="19">
        <v>107</v>
      </c>
      <c r="L420" s="19">
        <v>893</v>
      </c>
      <c r="M420" s="19">
        <v>88</v>
      </c>
      <c r="N420" s="19">
        <v>57</v>
      </c>
      <c r="O420" s="19">
        <f t="shared" si="12"/>
        <v>1406</v>
      </c>
      <c r="P420" s="19">
        <f t="shared" si="13"/>
        <v>2585</v>
      </c>
      <c r="Q420" t="s">
        <v>23</v>
      </c>
      <c r="R420" t="s">
        <v>63</v>
      </c>
      <c r="T420">
        <v>1</v>
      </c>
      <c r="U420" s="19">
        <v>1792</v>
      </c>
      <c r="V420">
        <v>0</v>
      </c>
      <c r="W420" s="19">
        <v>0</v>
      </c>
      <c r="X420">
        <v>0</v>
      </c>
      <c r="Y420" s="19">
        <v>0</v>
      </c>
      <c r="Z420">
        <v>0</v>
      </c>
      <c r="AA420" s="19">
        <v>0</v>
      </c>
      <c r="AB420">
        <v>1</v>
      </c>
      <c r="AC420" s="19">
        <v>977</v>
      </c>
      <c r="AD420">
        <v>0</v>
      </c>
      <c r="AE420" s="19">
        <v>0</v>
      </c>
      <c r="AF420">
        <v>0</v>
      </c>
      <c r="AG420" s="19">
        <v>0</v>
      </c>
      <c r="AH420">
        <v>1</v>
      </c>
      <c r="AI420" s="19">
        <v>228</v>
      </c>
      <c r="AJ420">
        <v>1</v>
      </c>
      <c r="AK420" s="19">
        <v>114</v>
      </c>
      <c r="AL420">
        <v>1</v>
      </c>
      <c r="AM420" s="19">
        <v>228</v>
      </c>
      <c r="AN420">
        <v>1</v>
      </c>
      <c r="AO420" s="19">
        <v>244</v>
      </c>
      <c r="AP420">
        <v>1</v>
      </c>
      <c r="AQ420" s="19">
        <v>407</v>
      </c>
    </row>
    <row r="421" spans="1:43" x14ac:dyDescent="0.35">
      <c r="A421" s="18">
        <v>45709</v>
      </c>
      <c r="B421" t="s">
        <v>59</v>
      </c>
      <c r="C421" t="s">
        <v>53</v>
      </c>
      <c r="D421">
        <v>8</v>
      </c>
      <c r="E421">
        <v>3</v>
      </c>
      <c r="F421">
        <v>5</v>
      </c>
      <c r="G421" s="19">
        <v>4190</v>
      </c>
      <c r="H421" s="19">
        <v>2977</v>
      </c>
      <c r="I421" s="19">
        <v>1213</v>
      </c>
      <c r="J421" s="19">
        <v>261</v>
      </c>
      <c r="K421" s="19">
        <v>107</v>
      </c>
      <c r="L421" s="19">
        <v>893</v>
      </c>
      <c r="M421" s="19">
        <v>92</v>
      </c>
      <c r="N421" s="19">
        <v>65</v>
      </c>
      <c r="O421" s="19">
        <f t="shared" si="12"/>
        <v>1418</v>
      </c>
      <c r="P421" s="19">
        <f t="shared" si="13"/>
        <v>2772</v>
      </c>
      <c r="Q421" t="s">
        <v>23</v>
      </c>
      <c r="R421" t="s">
        <v>63</v>
      </c>
      <c r="T421">
        <v>1</v>
      </c>
      <c r="U421" s="19">
        <v>1780</v>
      </c>
      <c r="V421">
        <v>0</v>
      </c>
      <c r="W421" s="19">
        <v>0</v>
      </c>
      <c r="X421">
        <v>0</v>
      </c>
      <c r="Y421" s="19">
        <v>0</v>
      </c>
      <c r="Z421">
        <v>0</v>
      </c>
      <c r="AA421" s="19">
        <v>0</v>
      </c>
      <c r="AB421">
        <v>1</v>
      </c>
      <c r="AC421" s="19">
        <v>971</v>
      </c>
      <c r="AD421">
        <v>0</v>
      </c>
      <c r="AE421" s="19">
        <v>0</v>
      </c>
      <c r="AF421">
        <v>0</v>
      </c>
      <c r="AG421" s="19">
        <v>0</v>
      </c>
      <c r="AH421">
        <v>2</v>
      </c>
      <c r="AI421" s="19">
        <v>453</v>
      </c>
      <c r="AJ421">
        <v>1</v>
      </c>
      <c r="AK421" s="19">
        <v>113</v>
      </c>
      <c r="AL421">
        <v>1</v>
      </c>
      <c r="AM421" s="19">
        <v>226</v>
      </c>
      <c r="AN421">
        <v>1</v>
      </c>
      <c r="AO421" s="19">
        <v>243</v>
      </c>
      <c r="AP421">
        <v>1</v>
      </c>
      <c r="AQ421" s="19">
        <v>404</v>
      </c>
    </row>
    <row r="422" spans="1:43" x14ac:dyDescent="0.35">
      <c r="A422" s="18">
        <v>45710</v>
      </c>
      <c r="B422" t="s">
        <v>60</v>
      </c>
      <c r="C422" t="s">
        <v>61</v>
      </c>
      <c r="D422">
        <v>10</v>
      </c>
      <c r="E422">
        <v>5</v>
      </c>
      <c r="F422">
        <v>5</v>
      </c>
      <c r="G422" s="19">
        <v>5188</v>
      </c>
      <c r="H422" s="19">
        <v>4063</v>
      </c>
      <c r="I422" s="19">
        <v>1125</v>
      </c>
      <c r="J422" s="19">
        <v>261</v>
      </c>
      <c r="K422" s="19">
        <v>107</v>
      </c>
      <c r="L422" s="19">
        <v>893</v>
      </c>
      <c r="M422" s="19">
        <v>114</v>
      </c>
      <c r="N422" s="19">
        <v>81</v>
      </c>
      <c r="O422" s="19">
        <f t="shared" si="12"/>
        <v>1456</v>
      </c>
      <c r="P422" s="19">
        <f t="shared" si="13"/>
        <v>3732</v>
      </c>
      <c r="Q422" t="s">
        <v>23</v>
      </c>
      <c r="R422" t="s">
        <v>63</v>
      </c>
      <c r="T422">
        <v>1</v>
      </c>
      <c r="U422" s="19">
        <v>1649</v>
      </c>
      <c r="V422">
        <v>0</v>
      </c>
      <c r="W422" s="19">
        <v>0</v>
      </c>
      <c r="X422">
        <v>0</v>
      </c>
      <c r="Y422" s="19">
        <v>0</v>
      </c>
      <c r="Z422">
        <v>1</v>
      </c>
      <c r="AA422" s="19">
        <v>1200</v>
      </c>
      <c r="AB422">
        <v>1</v>
      </c>
      <c r="AC422" s="19">
        <v>900</v>
      </c>
      <c r="AD422">
        <v>0</v>
      </c>
      <c r="AE422" s="19">
        <v>0</v>
      </c>
      <c r="AF422">
        <v>0</v>
      </c>
      <c r="AG422" s="19">
        <v>0</v>
      </c>
      <c r="AH422">
        <v>2</v>
      </c>
      <c r="AI422" s="19">
        <v>420</v>
      </c>
      <c r="AJ422">
        <v>2</v>
      </c>
      <c r="AK422" s="19">
        <v>210</v>
      </c>
      <c r="AL422">
        <v>1</v>
      </c>
      <c r="AM422" s="19">
        <v>210</v>
      </c>
      <c r="AN422">
        <v>1</v>
      </c>
      <c r="AO422" s="19">
        <v>225</v>
      </c>
      <c r="AP422">
        <v>1</v>
      </c>
      <c r="AQ422" s="19">
        <v>375</v>
      </c>
    </row>
    <row r="423" spans="1:43" x14ac:dyDescent="0.35">
      <c r="A423" s="18">
        <v>45711</v>
      </c>
      <c r="B423" t="s">
        <v>62</v>
      </c>
      <c r="C423" t="s">
        <v>61</v>
      </c>
      <c r="D423">
        <v>9</v>
      </c>
      <c r="E423">
        <v>4</v>
      </c>
      <c r="F423">
        <v>5</v>
      </c>
      <c r="G423" s="19">
        <v>4789</v>
      </c>
      <c r="H423" s="19">
        <v>3729</v>
      </c>
      <c r="I423" s="19">
        <v>1060</v>
      </c>
      <c r="J423" s="19">
        <v>261</v>
      </c>
      <c r="K423" s="19">
        <v>107</v>
      </c>
      <c r="L423" s="19">
        <v>893</v>
      </c>
      <c r="M423" s="19">
        <v>106</v>
      </c>
      <c r="N423" s="19">
        <v>73</v>
      </c>
      <c r="O423" s="19">
        <f t="shared" si="12"/>
        <v>1440</v>
      </c>
      <c r="P423" s="19">
        <f t="shared" si="13"/>
        <v>3349</v>
      </c>
      <c r="Q423" t="s">
        <v>23</v>
      </c>
      <c r="R423" t="s">
        <v>63</v>
      </c>
      <c r="T423">
        <v>1</v>
      </c>
      <c r="U423" s="19">
        <v>1554</v>
      </c>
      <c r="V423">
        <v>0</v>
      </c>
      <c r="W423" s="19">
        <v>0</v>
      </c>
      <c r="X423">
        <v>0</v>
      </c>
      <c r="Y423" s="19">
        <v>0</v>
      </c>
      <c r="Z423">
        <v>1</v>
      </c>
      <c r="AA423" s="19">
        <v>1130</v>
      </c>
      <c r="AB423">
        <v>1</v>
      </c>
      <c r="AC423" s="19">
        <v>848</v>
      </c>
      <c r="AD423">
        <v>0</v>
      </c>
      <c r="AE423" s="19">
        <v>0</v>
      </c>
      <c r="AF423">
        <v>0</v>
      </c>
      <c r="AG423" s="19">
        <v>0</v>
      </c>
      <c r="AH423">
        <v>2</v>
      </c>
      <c r="AI423" s="19">
        <v>396</v>
      </c>
      <c r="AJ423">
        <v>1</v>
      </c>
      <c r="AK423" s="19">
        <v>99</v>
      </c>
      <c r="AL423">
        <v>1</v>
      </c>
      <c r="AM423" s="19">
        <v>198</v>
      </c>
      <c r="AN423">
        <v>1</v>
      </c>
      <c r="AO423" s="19">
        <v>212</v>
      </c>
      <c r="AP423">
        <v>1</v>
      </c>
      <c r="AQ423" s="19">
        <v>353</v>
      </c>
    </row>
    <row r="424" spans="1:43" x14ac:dyDescent="0.35">
      <c r="A424" s="18">
        <v>45712</v>
      </c>
      <c r="B424" t="s">
        <v>52</v>
      </c>
      <c r="C424" t="s">
        <v>53</v>
      </c>
      <c r="D424">
        <v>6</v>
      </c>
      <c r="E424">
        <v>2</v>
      </c>
      <c r="F424">
        <v>4</v>
      </c>
      <c r="G424" s="19">
        <v>3392</v>
      </c>
      <c r="H424" s="19">
        <v>2621</v>
      </c>
      <c r="I424" s="19">
        <v>771</v>
      </c>
      <c r="J424" s="19">
        <v>261</v>
      </c>
      <c r="K424" s="19">
        <v>107</v>
      </c>
      <c r="L424" s="19">
        <v>893</v>
      </c>
      <c r="M424" s="19">
        <v>75</v>
      </c>
      <c r="N424" s="19">
        <v>49</v>
      </c>
      <c r="O424" s="19">
        <f t="shared" si="12"/>
        <v>1385</v>
      </c>
      <c r="P424" s="19">
        <f t="shared" si="13"/>
        <v>2007</v>
      </c>
      <c r="Q424" t="s">
        <v>23</v>
      </c>
      <c r="R424" t="s">
        <v>63</v>
      </c>
      <c r="T424">
        <v>1</v>
      </c>
      <c r="U424" s="19">
        <v>1696</v>
      </c>
      <c r="V424">
        <v>0</v>
      </c>
      <c r="W424" s="19">
        <v>0</v>
      </c>
      <c r="X424">
        <v>0</v>
      </c>
      <c r="Y424" s="19">
        <v>0</v>
      </c>
      <c r="Z424">
        <v>0</v>
      </c>
      <c r="AA424" s="19">
        <v>0</v>
      </c>
      <c r="AB424">
        <v>1</v>
      </c>
      <c r="AC424" s="19">
        <v>925</v>
      </c>
      <c r="AD424">
        <v>0</v>
      </c>
      <c r="AE424" s="19">
        <v>0</v>
      </c>
      <c r="AF424">
        <v>0</v>
      </c>
      <c r="AG424" s="19">
        <v>0</v>
      </c>
      <c r="AH424">
        <v>1</v>
      </c>
      <c r="AI424" s="19">
        <v>216</v>
      </c>
      <c r="AJ424">
        <v>1</v>
      </c>
      <c r="AK424" s="19">
        <v>108</v>
      </c>
      <c r="AL424">
        <v>1</v>
      </c>
      <c r="AM424" s="19">
        <v>216</v>
      </c>
      <c r="AN424">
        <v>1</v>
      </c>
      <c r="AO424" s="19">
        <v>231</v>
      </c>
      <c r="AP424">
        <v>0</v>
      </c>
      <c r="AQ424" s="19">
        <v>0</v>
      </c>
    </row>
    <row r="425" spans="1:43" x14ac:dyDescent="0.35">
      <c r="A425" s="18">
        <v>45713</v>
      </c>
      <c r="B425" t="s">
        <v>56</v>
      </c>
      <c r="C425" t="s">
        <v>53</v>
      </c>
      <c r="D425">
        <v>7</v>
      </c>
      <c r="E425">
        <v>2</v>
      </c>
      <c r="F425">
        <v>5</v>
      </c>
      <c r="G425" s="19">
        <v>3592</v>
      </c>
      <c r="H425" s="19">
        <v>2492</v>
      </c>
      <c r="I425" s="19">
        <v>1100</v>
      </c>
      <c r="J425" s="19">
        <v>261</v>
      </c>
      <c r="K425" s="19">
        <v>107</v>
      </c>
      <c r="L425" s="19">
        <v>893</v>
      </c>
      <c r="M425" s="19">
        <v>79</v>
      </c>
      <c r="N425" s="19">
        <v>57</v>
      </c>
      <c r="O425" s="19">
        <f t="shared" si="12"/>
        <v>1397</v>
      </c>
      <c r="P425" s="19">
        <f t="shared" si="13"/>
        <v>2195</v>
      </c>
      <c r="Q425" t="s">
        <v>23</v>
      </c>
      <c r="R425" t="s">
        <v>63</v>
      </c>
      <c r="T425">
        <v>1</v>
      </c>
      <c r="U425" s="19">
        <v>1613</v>
      </c>
      <c r="V425">
        <v>0</v>
      </c>
      <c r="W425" s="19">
        <v>0</v>
      </c>
      <c r="X425">
        <v>0</v>
      </c>
      <c r="Y425" s="19">
        <v>0</v>
      </c>
      <c r="Z425">
        <v>0</v>
      </c>
      <c r="AA425" s="19">
        <v>0</v>
      </c>
      <c r="AB425">
        <v>1</v>
      </c>
      <c r="AC425" s="19">
        <v>880</v>
      </c>
      <c r="AD425">
        <v>0</v>
      </c>
      <c r="AE425" s="19">
        <v>0</v>
      </c>
      <c r="AF425">
        <v>0</v>
      </c>
      <c r="AG425" s="19">
        <v>0</v>
      </c>
      <c r="AH425">
        <v>1</v>
      </c>
      <c r="AI425" s="19">
        <v>205</v>
      </c>
      <c r="AJ425">
        <v>1</v>
      </c>
      <c r="AK425" s="19">
        <v>103</v>
      </c>
      <c r="AL425">
        <v>1</v>
      </c>
      <c r="AM425" s="19">
        <v>205</v>
      </c>
      <c r="AN425">
        <v>1</v>
      </c>
      <c r="AO425" s="19">
        <v>220</v>
      </c>
      <c r="AP425">
        <v>1</v>
      </c>
      <c r="AQ425" s="19">
        <v>367</v>
      </c>
    </row>
    <row r="426" spans="1:43" x14ac:dyDescent="0.35">
      <c r="A426" s="18">
        <v>45714</v>
      </c>
      <c r="B426" t="s">
        <v>57</v>
      </c>
      <c r="C426" t="s">
        <v>53</v>
      </c>
      <c r="D426">
        <v>7</v>
      </c>
      <c r="E426">
        <v>2</v>
      </c>
      <c r="F426">
        <v>5</v>
      </c>
      <c r="G426" s="19">
        <v>3791</v>
      </c>
      <c r="H426" s="19">
        <v>2630</v>
      </c>
      <c r="I426" s="19">
        <v>1161</v>
      </c>
      <c r="J426" s="19">
        <v>261</v>
      </c>
      <c r="K426" s="19">
        <v>107</v>
      </c>
      <c r="L426" s="19">
        <v>893</v>
      </c>
      <c r="M426" s="19">
        <v>84</v>
      </c>
      <c r="N426" s="19">
        <v>57</v>
      </c>
      <c r="O426" s="19">
        <f t="shared" si="12"/>
        <v>1402</v>
      </c>
      <c r="P426" s="19">
        <f t="shared" si="13"/>
        <v>2389</v>
      </c>
      <c r="Q426" t="s">
        <v>23</v>
      </c>
      <c r="R426" t="s">
        <v>63</v>
      </c>
      <c r="T426">
        <v>1</v>
      </c>
      <c r="U426" s="19">
        <v>1702</v>
      </c>
      <c r="V426">
        <v>0</v>
      </c>
      <c r="W426" s="19">
        <v>0</v>
      </c>
      <c r="X426">
        <v>0</v>
      </c>
      <c r="Y426" s="19">
        <v>0</v>
      </c>
      <c r="Z426">
        <v>0</v>
      </c>
      <c r="AA426" s="19">
        <v>0</v>
      </c>
      <c r="AB426">
        <v>1</v>
      </c>
      <c r="AC426" s="19">
        <v>928</v>
      </c>
      <c r="AD426">
        <v>0</v>
      </c>
      <c r="AE426" s="19">
        <v>0</v>
      </c>
      <c r="AF426">
        <v>0</v>
      </c>
      <c r="AG426" s="19">
        <v>0</v>
      </c>
      <c r="AH426">
        <v>1</v>
      </c>
      <c r="AI426" s="19">
        <v>217</v>
      </c>
      <c r="AJ426">
        <v>1</v>
      </c>
      <c r="AK426" s="19">
        <v>108</v>
      </c>
      <c r="AL426">
        <v>1</v>
      </c>
      <c r="AM426" s="19">
        <v>217</v>
      </c>
      <c r="AN426">
        <v>1</v>
      </c>
      <c r="AO426" s="19">
        <v>232</v>
      </c>
      <c r="AP426">
        <v>1</v>
      </c>
      <c r="AQ426" s="19">
        <v>387</v>
      </c>
    </row>
    <row r="427" spans="1:43" x14ac:dyDescent="0.35">
      <c r="A427" s="18">
        <v>45715</v>
      </c>
      <c r="B427" t="s">
        <v>58</v>
      </c>
      <c r="C427" t="s">
        <v>53</v>
      </c>
      <c r="D427">
        <v>7</v>
      </c>
      <c r="E427">
        <v>2</v>
      </c>
      <c r="F427">
        <v>5</v>
      </c>
      <c r="G427" s="19">
        <v>3991</v>
      </c>
      <c r="H427" s="19">
        <v>2769</v>
      </c>
      <c r="I427" s="19">
        <v>1222</v>
      </c>
      <c r="J427" s="19">
        <v>261</v>
      </c>
      <c r="K427" s="19">
        <v>107</v>
      </c>
      <c r="L427" s="19">
        <v>893</v>
      </c>
      <c r="M427" s="19">
        <v>88</v>
      </c>
      <c r="N427" s="19">
        <v>57</v>
      </c>
      <c r="O427" s="19">
        <f t="shared" si="12"/>
        <v>1406</v>
      </c>
      <c r="P427" s="19">
        <f t="shared" si="13"/>
        <v>2585</v>
      </c>
      <c r="Q427" t="s">
        <v>23</v>
      </c>
      <c r="R427" t="s">
        <v>63</v>
      </c>
      <c r="T427">
        <v>1</v>
      </c>
      <c r="U427" s="19">
        <v>1792</v>
      </c>
      <c r="V427">
        <v>0</v>
      </c>
      <c r="W427" s="19">
        <v>0</v>
      </c>
      <c r="X427">
        <v>0</v>
      </c>
      <c r="Y427" s="19">
        <v>0</v>
      </c>
      <c r="Z427">
        <v>0</v>
      </c>
      <c r="AA427" s="19">
        <v>0</v>
      </c>
      <c r="AB427">
        <v>1</v>
      </c>
      <c r="AC427" s="19">
        <v>977</v>
      </c>
      <c r="AD427">
        <v>0</v>
      </c>
      <c r="AE427" s="19">
        <v>0</v>
      </c>
      <c r="AF427">
        <v>0</v>
      </c>
      <c r="AG427" s="19">
        <v>0</v>
      </c>
      <c r="AH427">
        <v>1</v>
      </c>
      <c r="AI427" s="19">
        <v>228</v>
      </c>
      <c r="AJ427">
        <v>1</v>
      </c>
      <c r="AK427" s="19">
        <v>114</v>
      </c>
      <c r="AL427">
        <v>1</v>
      </c>
      <c r="AM427" s="19">
        <v>228</v>
      </c>
      <c r="AN427">
        <v>1</v>
      </c>
      <c r="AO427" s="19">
        <v>244</v>
      </c>
      <c r="AP427">
        <v>1</v>
      </c>
      <c r="AQ427" s="19">
        <v>407</v>
      </c>
    </row>
    <row r="428" spans="1:43" x14ac:dyDescent="0.35">
      <c r="A428" s="18">
        <v>45716</v>
      </c>
      <c r="B428" t="s">
        <v>59</v>
      </c>
      <c r="C428" t="s">
        <v>53</v>
      </c>
      <c r="D428">
        <v>9</v>
      </c>
      <c r="E428">
        <v>4</v>
      </c>
      <c r="F428">
        <v>5</v>
      </c>
      <c r="G428" s="19">
        <v>4188</v>
      </c>
      <c r="H428" s="19">
        <v>3242</v>
      </c>
      <c r="I428" s="19">
        <v>946</v>
      </c>
      <c r="J428" s="19">
        <v>261</v>
      </c>
      <c r="K428" s="19">
        <v>107</v>
      </c>
      <c r="L428" s="19">
        <v>893</v>
      </c>
      <c r="M428" s="19">
        <v>92</v>
      </c>
      <c r="N428" s="19">
        <v>73</v>
      </c>
      <c r="O428" s="19">
        <f t="shared" si="12"/>
        <v>1426</v>
      </c>
      <c r="P428" s="19">
        <f t="shared" si="13"/>
        <v>2762</v>
      </c>
      <c r="Q428" t="s">
        <v>23</v>
      </c>
      <c r="R428" t="s">
        <v>63</v>
      </c>
      <c r="T428">
        <v>1</v>
      </c>
      <c r="U428" s="19">
        <v>1388</v>
      </c>
      <c r="V428">
        <v>0</v>
      </c>
      <c r="W428" s="19">
        <v>0</v>
      </c>
      <c r="X428">
        <v>0</v>
      </c>
      <c r="Y428" s="19">
        <v>0</v>
      </c>
      <c r="Z428">
        <v>1</v>
      </c>
      <c r="AA428" s="19">
        <v>1009</v>
      </c>
      <c r="AB428">
        <v>1</v>
      </c>
      <c r="AC428" s="19">
        <v>757</v>
      </c>
      <c r="AD428">
        <v>0</v>
      </c>
      <c r="AE428" s="19">
        <v>0</v>
      </c>
      <c r="AF428">
        <v>0</v>
      </c>
      <c r="AG428" s="19">
        <v>0</v>
      </c>
      <c r="AH428">
        <v>1</v>
      </c>
      <c r="AI428" s="19">
        <v>177</v>
      </c>
      <c r="AJ428">
        <v>2</v>
      </c>
      <c r="AK428" s="19">
        <v>177</v>
      </c>
      <c r="AL428">
        <v>1</v>
      </c>
      <c r="AM428" s="19">
        <v>177</v>
      </c>
      <c r="AN428">
        <v>1</v>
      </c>
      <c r="AO428" s="19">
        <v>189</v>
      </c>
      <c r="AP428">
        <v>1</v>
      </c>
      <c r="AQ428" s="19">
        <v>315</v>
      </c>
    </row>
    <row r="429" spans="1:43" x14ac:dyDescent="0.35">
      <c r="A429" s="18">
        <v>45717</v>
      </c>
      <c r="B429" t="s">
        <v>60</v>
      </c>
      <c r="C429" t="s">
        <v>61</v>
      </c>
      <c r="D429">
        <v>10</v>
      </c>
      <c r="E429">
        <v>5</v>
      </c>
      <c r="F429">
        <v>5</v>
      </c>
      <c r="G429" s="19">
        <v>5017</v>
      </c>
      <c r="H429" s="19">
        <v>3930</v>
      </c>
      <c r="I429" s="19">
        <v>1088</v>
      </c>
      <c r="J429" s="19">
        <v>239</v>
      </c>
      <c r="K429" s="19">
        <v>100</v>
      </c>
      <c r="L429" s="19">
        <v>806</v>
      </c>
      <c r="M429" s="19">
        <v>111</v>
      </c>
      <c r="N429" s="19">
        <v>81</v>
      </c>
      <c r="O429" s="19">
        <f t="shared" si="12"/>
        <v>1337</v>
      </c>
      <c r="P429" s="19">
        <f t="shared" si="13"/>
        <v>3680</v>
      </c>
      <c r="Q429" t="s">
        <v>23</v>
      </c>
      <c r="R429" t="s">
        <v>64</v>
      </c>
      <c r="T429">
        <v>1</v>
      </c>
      <c r="U429" s="19">
        <v>1595</v>
      </c>
      <c r="V429">
        <v>0</v>
      </c>
      <c r="W429" s="19">
        <v>0</v>
      </c>
      <c r="X429">
        <v>0</v>
      </c>
      <c r="Y429" s="19">
        <v>0</v>
      </c>
      <c r="Z429">
        <v>1</v>
      </c>
      <c r="AA429" s="19">
        <v>1160</v>
      </c>
      <c r="AB429">
        <v>1</v>
      </c>
      <c r="AC429" s="19">
        <v>870</v>
      </c>
      <c r="AD429">
        <v>0</v>
      </c>
      <c r="AE429" s="19">
        <v>0</v>
      </c>
      <c r="AF429">
        <v>0</v>
      </c>
      <c r="AG429" s="19">
        <v>0</v>
      </c>
      <c r="AH429">
        <v>2</v>
      </c>
      <c r="AI429" s="19">
        <v>406</v>
      </c>
      <c r="AJ429">
        <v>2</v>
      </c>
      <c r="AK429" s="19">
        <v>203</v>
      </c>
      <c r="AL429">
        <v>1</v>
      </c>
      <c r="AM429" s="19">
        <v>203</v>
      </c>
      <c r="AN429">
        <v>1</v>
      </c>
      <c r="AO429" s="19">
        <v>218</v>
      </c>
      <c r="AP429">
        <v>1</v>
      </c>
      <c r="AQ429" s="19">
        <v>362</v>
      </c>
    </row>
    <row r="430" spans="1:43" x14ac:dyDescent="0.35">
      <c r="A430" s="18">
        <v>45718</v>
      </c>
      <c r="B430" t="s">
        <v>62</v>
      </c>
      <c r="C430" t="s">
        <v>61</v>
      </c>
      <c r="D430">
        <v>9</v>
      </c>
      <c r="E430">
        <v>4</v>
      </c>
      <c r="F430">
        <v>5</v>
      </c>
      <c r="G430" s="19">
        <v>4631</v>
      </c>
      <c r="H430" s="19">
        <v>3936</v>
      </c>
      <c r="I430" s="19">
        <v>695</v>
      </c>
      <c r="J430" s="19">
        <v>239</v>
      </c>
      <c r="K430" s="19">
        <v>100</v>
      </c>
      <c r="L430" s="19">
        <v>806</v>
      </c>
      <c r="M430" s="19">
        <v>102</v>
      </c>
      <c r="N430" s="19">
        <v>73</v>
      </c>
      <c r="O430" s="19">
        <f t="shared" si="12"/>
        <v>1320</v>
      </c>
      <c r="P430" s="19">
        <f t="shared" si="13"/>
        <v>3311</v>
      </c>
      <c r="Q430" t="s">
        <v>25</v>
      </c>
      <c r="R430" t="s">
        <v>64</v>
      </c>
      <c r="T430">
        <v>1</v>
      </c>
      <c r="U430" s="19">
        <v>1019</v>
      </c>
      <c r="V430">
        <v>0</v>
      </c>
      <c r="W430" s="19">
        <v>0</v>
      </c>
      <c r="X430">
        <v>1</v>
      </c>
      <c r="Y430" s="19">
        <v>1621</v>
      </c>
      <c r="Z430">
        <v>1</v>
      </c>
      <c r="AA430" s="19">
        <v>741</v>
      </c>
      <c r="AB430">
        <v>1</v>
      </c>
      <c r="AC430" s="19">
        <v>556</v>
      </c>
      <c r="AD430">
        <v>0</v>
      </c>
      <c r="AE430" s="19">
        <v>0</v>
      </c>
      <c r="AF430">
        <v>0</v>
      </c>
      <c r="AG430" s="19">
        <v>0</v>
      </c>
      <c r="AH430">
        <v>1</v>
      </c>
      <c r="AI430" s="19">
        <v>130</v>
      </c>
      <c r="AJ430">
        <v>1</v>
      </c>
      <c r="AK430" s="19">
        <v>65</v>
      </c>
      <c r="AL430">
        <v>1</v>
      </c>
      <c r="AM430" s="19">
        <v>130</v>
      </c>
      <c r="AN430">
        <v>1</v>
      </c>
      <c r="AO430" s="19">
        <v>139</v>
      </c>
      <c r="AP430">
        <v>1</v>
      </c>
      <c r="AQ430" s="19">
        <v>232</v>
      </c>
    </row>
    <row r="431" spans="1:43" x14ac:dyDescent="0.35">
      <c r="A431" s="18">
        <v>45719</v>
      </c>
      <c r="B431" t="s">
        <v>52</v>
      </c>
      <c r="C431" t="s">
        <v>53</v>
      </c>
      <c r="D431">
        <v>6</v>
      </c>
      <c r="E431">
        <v>2</v>
      </c>
      <c r="F431">
        <v>4</v>
      </c>
      <c r="G431" s="19">
        <v>3280</v>
      </c>
      <c r="H431" s="19">
        <v>2535</v>
      </c>
      <c r="I431" s="19">
        <v>745</v>
      </c>
      <c r="J431" s="19">
        <v>239</v>
      </c>
      <c r="K431" s="19">
        <v>100</v>
      </c>
      <c r="L431" s="19">
        <v>806</v>
      </c>
      <c r="M431" s="19">
        <v>72</v>
      </c>
      <c r="N431" s="19">
        <v>49</v>
      </c>
      <c r="O431" s="19">
        <f t="shared" si="12"/>
        <v>1266</v>
      </c>
      <c r="P431" s="19">
        <f t="shared" si="13"/>
        <v>2014</v>
      </c>
      <c r="Q431" t="s">
        <v>23</v>
      </c>
      <c r="R431" t="s">
        <v>64</v>
      </c>
      <c r="T431">
        <v>1</v>
      </c>
      <c r="U431" s="19">
        <v>1640</v>
      </c>
      <c r="V431">
        <v>0</v>
      </c>
      <c r="W431" s="19">
        <v>0</v>
      </c>
      <c r="X431">
        <v>0</v>
      </c>
      <c r="Y431" s="19">
        <v>0</v>
      </c>
      <c r="Z431">
        <v>0</v>
      </c>
      <c r="AA431" s="19">
        <v>0</v>
      </c>
      <c r="AB431">
        <v>1</v>
      </c>
      <c r="AC431" s="19">
        <v>895</v>
      </c>
      <c r="AD431">
        <v>0</v>
      </c>
      <c r="AE431" s="19">
        <v>0</v>
      </c>
      <c r="AF431">
        <v>0</v>
      </c>
      <c r="AG431" s="19">
        <v>0</v>
      </c>
      <c r="AH431">
        <v>1</v>
      </c>
      <c r="AI431" s="19">
        <v>209</v>
      </c>
      <c r="AJ431">
        <v>1</v>
      </c>
      <c r="AK431" s="19">
        <v>104</v>
      </c>
      <c r="AL431">
        <v>1</v>
      </c>
      <c r="AM431" s="19">
        <v>209</v>
      </c>
      <c r="AN431">
        <v>1</v>
      </c>
      <c r="AO431" s="19">
        <v>224</v>
      </c>
      <c r="AP431">
        <v>0</v>
      </c>
      <c r="AQ431" s="19">
        <v>0</v>
      </c>
    </row>
    <row r="432" spans="1:43" x14ac:dyDescent="0.35">
      <c r="A432" s="18">
        <v>45720</v>
      </c>
      <c r="B432" t="s">
        <v>56</v>
      </c>
      <c r="C432" t="s">
        <v>53</v>
      </c>
      <c r="D432">
        <v>7</v>
      </c>
      <c r="E432">
        <v>2</v>
      </c>
      <c r="F432">
        <v>5</v>
      </c>
      <c r="G432" s="19">
        <v>3473</v>
      </c>
      <c r="H432" s="19">
        <v>2410</v>
      </c>
      <c r="I432" s="19">
        <v>1063</v>
      </c>
      <c r="J432" s="19">
        <v>239</v>
      </c>
      <c r="K432" s="19">
        <v>100</v>
      </c>
      <c r="L432" s="19">
        <v>806</v>
      </c>
      <c r="M432" s="19">
        <v>77</v>
      </c>
      <c r="N432" s="19">
        <v>57</v>
      </c>
      <c r="O432" s="19">
        <f t="shared" si="12"/>
        <v>1279</v>
      </c>
      <c r="P432" s="19">
        <f t="shared" si="13"/>
        <v>2194</v>
      </c>
      <c r="Q432" t="s">
        <v>23</v>
      </c>
      <c r="R432" t="s">
        <v>64</v>
      </c>
      <c r="T432">
        <v>1</v>
      </c>
      <c r="U432" s="19">
        <v>1559</v>
      </c>
      <c r="V432">
        <v>0</v>
      </c>
      <c r="W432" s="19">
        <v>0</v>
      </c>
      <c r="X432">
        <v>0</v>
      </c>
      <c r="Y432" s="19">
        <v>0</v>
      </c>
      <c r="Z432">
        <v>0</v>
      </c>
      <c r="AA432" s="19">
        <v>0</v>
      </c>
      <c r="AB432">
        <v>1</v>
      </c>
      <c r="AC432" s="19">
        <v>851</v>
      </c>
      <c r="AD432">
        <v>0</v>
      </c>
      <c r="AE432" s="19">
        <v>0</v>
      </c>
      <c r="AF432">
        <v>0</v>
      </c>
      <c r="AG432" s="19">
        <v>0</v>
      </c>
      <c r="AH432">
        <v>1</v>
      </c>
      <c r="AI432" s="19">
        <v>198</v>
      </c>
      <c r="AJ432">
        <v>1</v>
      </c>
      <c r="AK432" s="19">
        <v>99</v>
      </c>
      <c r="AL432">
        <v>1</v>
      </c>
      <c r="AM432" s="19">
        <v>198</v>
      </c>
      <c r="AN432">
        <v>1</v>
      </c>
      <c r="AO432" s="19">
        <v>213</v>
      </c>
      <c r="AP432">
        <v>1</v>
      </c>
      <c r="AQ432" s="19">
        <v>354</v>
      </c>
    </row>
    <row r="433" spans="1:43" x14ac:dyDescent="0.35">
      <c r="A433" s="18">
        <v>45721</v>
      </c>
      <c r="B433" t="s">
        <v>57</v>
      </c>
      <c r="C433" t="s">
        <v>53</v>
      </c>
      <c r="D433">
        <v>7</v>
      </c>
      <c r="E433">
        <v>3</v>
      </c>
      <c r="F433">
        <v>4</v>
      </c>
      <c r="G433" s="19">
        <v>3666</v>
      </c>
      <c r="H433" s="19">
        <v>3055</v>
      </c>
      <c r="I433" s="19">
        <v>611</v>
      </c>
      <c r="J433" s="19">
        <v>239</v>
      </c>
      <c r="K433" s="19">
        <v>100</v>
      </c>
      <c r="L433" s="19">
        <v>806</v>
      </c>
      <c r="M433" s="19">
        <v>81</v>
      </c>
      <c r="N433" s="19">
        <v>57</v>
      </c>
      <c r="O433" s="19">
        <f t="shared" si="12"/>
        <v>1283</v>
      </c>
      <c r="P433" s="19">
        <f t="shared" si="13"/>
        <v>2383</v>
      </c>
      <c r="Q433" t="s">
        <v>23</v>
      </c>
      <c r="R433" t="s">
        <v>64</v>
      </c>
      <c r="T433">
        <v>1</v>
      </c>
      <c r="U433" s="19">
        <v>1344</v>
      </c>
      <c r="V433">
        <v>0</v>
      </c>
      <c r="W433" s="19">
        <v>0</v>
      </c>
      <c r="X433">
        <v>0</v>
      </c>
      <c r="Y433" s="19">
        <v>0</v>
      </c>
      <c r="Z433">
        <v>1</v>
      </c>
      <c r="AA433" s="19">
        <v>978</v>
      </c>
      <c r="AB433">
        <v>1</v>
      </c>
      <c r="AC433" s="19">
        <v>733</v>
      </c>
      <c r="AD433">
        <v>0</v>
      </c>
      <c r="AE433" s="19">
        <v>0</v>
      </c>
      <c r="AF433">
        <v>0</v>
      </c>
      <c r="AG433" s="19">
        <v>0</v>
      </c>
      <c r="AH433">
        <v>1</v>
      </c>
      <c r="AI433" s="19">
        <v>171</v>
      </c>
      <c r="AJ433">
        <v>1</v>
      </c>
      <c r="AK433" s="19">
        <v>86</v>
      </c>
      <c r="AL433">
        <v>1</v>
      </c>
      <c r="AM433" s="19">
        <v>171</v>
      </c>
      <c r="AN433">
        <v>1</v>
      </c>
      <c r="AO433" s="19">
        <v>183</v>
      </c>
      <c r="AP433">
        <v>0</v>
      </c>
      <c r="AQ433" s="19">
        <v>0</v>
      </c>
    </row>
    <row r="434" spans="1:43" x14ac:dyDescent="0.35">
      <c r="A434" s="18">
        <v>45722</v>
      </c>
      <c r="B434" t="s">
        <v>58</v>
      </c>
      <c r="C434" t="s">
        <v>53</v>
      </c>
      <c r="D434">
        <v>7</v>
      </c>
      <c r="E434">
        <v>2</v>
      </c>
      <c r="F434">
        <v>5</v>
      </c>
      <c r="G434" s="19">
        <v>3859</v>
      </c>
      <c r="H434" s="19">
        <v>2678</v>
      </c>
      <c r="I434" s="19">
        <v>1181</v>
      </c>
      <c r="J434" s="19">
        <v>239</v>
      </c>
      <c r="K434" s="19">
        <v>100</v>
      </c>
      <c r="L434" s="19">
        <v>806</v>
      </c>
      <c r="M434" s="19">
        <v>85</v>
      </c>
      <c r="N434" s="19">
        <v>57</v>
      </c>
      <c r="O434" s="19">
        <f t="shared" si="12"/>
        <v>1287</v>
      </c>
      <c r="P434" s="19">
        <f t="shared" si="13"/>
        <v>2572</v>
      </c>
      <c r="Q434" t="s">
        <v>23</v>
      </c>
      <c r="R434" t="s">
        <v>64</v>
      </c>
      <c r="T434">
        <v>1</v>
      </c>
      <c r="U434" s="19">
        <v>1733</v>
      </c>
      <c r="V434">
        <v>0</v>
      </c>
      <c r="W434" s="19">
        <v>0</v>
      </c>
      <c r="X434">
        <v>0</v>
      </c>
      <c r="Y434" s="19">
        <v>0</v>
      </c>
      <c r="Z434">
        <v>0</v>
      </c>
      <c r="AA434" s="19">
        <v>0</v>
      </c>
      <c r="AB434">
        <v>1</v>
      </c>
      <c r="AC434" s="19">
        <v>945</v>
      </c>
      <c r="AD434">
        <v>0</v>
      </c>
      <c r="AE434" s="19">
        <v>0</v>
      </c>
      <c r="AF434">
        <v>0</v>
      </c>
      <c r="AG434" s="19">
        <v>0</v>
      </c>
      <c r="AH434">
        <v>1</v>
      </c>
      <c r="AI434" s="19">
        <v>221</v>
      </c>
      <c r="AJ434">
        <v>1</v>
      </c>
      <c r="AK434" s="19">
        <v>110</v>
      </c>
      <c r="AL434">
        <v>1</v>
      </c>
      <c r="AM434" s="19">
        <v>221</v>
      </c>
      <c r="AN434">
        <v>1</v>
      </c>
      <c r="AO434" s="19">
        <v>236</v>
      </c>
      <c r="AP434">
        <v>1</v>
      </c>
      <c r="AQ434" s="19">
        <v>394</v>
      </c>
    </row>
    <row r="435" spans="1:43" x14ac:dyDescent="0.35">
      <c r="A435" s="18">
        <v>45723</v>
      </c>
      <c r="B435" t="s">
        <v>59</v>
      </c>
      <c r="C435" t="s">
        <v>53</v>
      </c>
      <c r="D435">
        <v>8</v>
      </c>
      <c r="E435">
        <v>3</v>
      </c>
      <c r="F435">
        <v>5</v>
      </c>
      <c r="G435" s="19">
        <v>4052</v>
      </c>
      <c r="H435" s="19">
        <v>2879</v>
      </c>
      <c r="I435" s="19">
        <v>1173</v>
      </c>
      <c r="J435" s="19">
        <v>239</v>
      </c>
      <c r="K435" s="19">
        <v>100</v>
      </c>
      <c r="L435" s="19">
        <v>806</v>
      </c>
      <c r="M435" s="19">
        <v>89</v>
      </c>
      <c r="N435" s="19">
        <v>65</v>
      </c>
      <c r="O435" s="19">
        <f t="shared" si="12"/>
        <v>1299</v>
      </c>
      <c r="P435" s="19">
        <f t="shared" si="13"/>
        <v>2753</v>
      </c>
      <c r="Q435" t="s">
        <v>23</v>
      </c>
      <c r="R435" t="s">
        <v>64</v>
      </c>
      <c r="T435">
        <v>1</v>
      </c>
      <c r="U435" s="19">
        <v>1721</v>
      </c>
      <c r="V435">
        <v>0</v>
      </c>
      <c r="W435" s="19">
        <v>0</v>
      </c>
      <c r="X435">
        <v>0</v>
      </c>
      <c r="Y435" s="19">
        <v>0</v>
      </c>
      <c r="Z435">
        <v>0</v>
      </c>
      <c r="AA435" s="19">
        <v>0</v>
      </c>
      <c r="AB435">
        <v>1</v>
      </c>
      <c r="AC435" s="19">
        <v>939</v>
      </c>
      <c r="AD435">
        <v>0</v>
      </c>
      <c r="AE435" s="19">
        <v>0</v>
      </c>
      <c r="AF435">
        <v>0</v>
      </c>
      <c r="AG435" s="19">
        <v>0</v>
      </c>
      <c r="AH435">
        <v>2</v>
      </c>
      <c r="AI435" s="19">
        <v>438</v>
      </c>
      <c r="AJ435">
        <v>1</v>
      </c>
      <c r="AK435" s="19">
        <v>110</v>
      </c>
      <c r="AL435">
        <v>1</v>
      </c>
      <c r="AM435" s="19">
        <v>219</v>
      </c>
      <c r="AN435">
        <v>1</v>
      </c>
      <c r="AO435" s="19">
        <v>235</v>
      </c>
      <c r="AP435">
        <v>1</v>
      </c>
      <c r="AQ435" s="19">
        <v>391</v>
      </c>
    </row>
    <row r="436" spans="1:43" x14ac:dyDescent="0.35">
      <c r="A436" s="18">
        <v>45724</v>
      </c>
      <c r="B436" t="s">
        <v>60</v>
      </c>
      <c r="C436" t="s">
        <v>61</v>
      </c>
      <c r="D436">
        <v>10</v>
      </c>
      <c r="E436">
        <v>4</v>
      </c>
      <c r="F436">
        <v>6</v>
      </c>
      <c r="G436" s="19">
        <v>5017</v>
      </c>
      <c r="H436" s="19">
        <v>3017</v>
      </c>
      <c r="I436" s="19">
        <v>2000</v>
      </c>
      <c r="J436" s="19">
        <v>239</v>
      </c>
      <c r="K436" s="19">
        <v>100</v>
      </c>
      <c r="L436" s="19">
        <v>806</v>
      </c>
      <c r="M436" s="19">
        <v>111</v>
      </c>
      <c r="N436" s="19">
        <v>81</v>
      </c>
      <c r="O436" s="19">
        <f t="shared" si="12"/>
        <v>1337</v>
      </c>
      <c r="P436" s="19">
        <f t="shared" si="13"/>
        <v>3680</v>
      </c>
      <c r="Q436" t="s">
        <v>23</v>
      </c>
      <c r="R436" t="s">
        <v>64</v>
      </c>
      <c r="T436">
        <v>1</v>
      </c>
      <c r="U436" s="19">
        <v>1257</v>
      </c>
      <c r="V436">
        <v>0</v>
      </c>
      <c r="W436" s="19">
        <v>0</v>
      </c>
      <c r="X436">
        <v>0</v>
      </c>
      <c r="Y436" s="19">
        <v>0</v>
      </c>
      <c r="Z436">
        <v>1</v>
      </c>
      <c r="AA436" s="19">
        <v>914</v>
      </c>
      <c r="AB436">
        <v>1</v>
      </c>
      <c r="AC436" s="19">
        <v>686</v>
      </c>
      <c r="AD436">
        <v>1</v>
      </c>
      <c r="AE436" s="19">
        <v>1143</v>
      </c>
      <c r="AF436">
        <v>0</v>
      </c>
      <c r="AG436" s="19">
        <v>0</v>
      </c>
      <c r="AH436">
        <v>2</v>
      </c>
      <c r="AI436" s="19">
        <v>320</v>
      </c>
      <c r="AJ436">
        <v>1</v>
      </c>
      <c r="AK436" s="19">
        <v>80</v>
      </c>
      <c r="AL436">
        <v>1</v>
      </c>
      <c r="AM436" s="19">
        <v>160</v>
      </c>
      <c r="AN436">
        <v>1</v>
      </c>
      <c r="AO436" s="19">
        <v>171</v>
      </c>
      <c r="AP436">
        <v>1</v>
      </c>
      <c r="AQ436" s="19">
        <v>286</v>
      </c>
    </row>
    <row r="437" spans="1:43" x14ac:dyDescent="0.35">
      <c r="A437" s="18">
        <v>45725</v>
      </c>
      <c r="B437" t="s">
        <v>62</v>
      </c>
      <c r="C437" t="s">
        <v>61</v>
      </c>
      <c r="D437">
        <v>9</v>
      </c>
      <c r="E437">
        <v>4</v>
      </c>
      <c r="F437">
        <v>5</v>
      </c>
      <c r="G437" s="19">
        <v>4631</v>
      </c>
      <c r="H437" s="19">
        <v>3606</v>
      </c>
      <c r="I437" s="19">
        <v>1025</v>
      </c>
      <c r="J437" s="19">
        <v>239</v>
      </c>
      <c r="K437" s="19">
        <v>100</v>
      </c>
      <c r="L437" s="19">
        <v>806</v>
      </c>
      <c r="M437" s="19">
        <v>102</v>
      </c>
      <c r="N437" s="19">
        <v>73</v>
      </c>
      <c r="O437" s="19">
        <f t="shared" si="12"/>
        <v>1320</v>
      </c>
      <c r="P437" s="19">
        <f t="shared" si="13"/>
        <v>3311</v>
      </c>
      <c r="Q437" t="s">
        <v>23</v>
      </c>
      <c r="R437" t="s">
        <v>64</v>
      </c>
      <c r="T437">
        <v>1</v>
      </c>
      <c r="U437" s="19">
        <v>1503</v>
      </c>
      <c r="V437">
        <v>0</v>
      </c>
      <c r="W437" s="19">
        <v>0</v>
      </c>
      <c r="X437">
        <v>0</v>
      </c>
      <c r="Y437" s="19">
        <v>0</v>
      </c>
      <c r="Z437">
        <v>1</v>
      </c>
      <c r="AA437" s="19">
        <v>1093</v>
      </c>
      <c r="AB437">
        <v>1</v>
      </c>
      <c r="AC437" s="19">
        <v>820</v>
      </c>
      <c r="AD437">
        <v>0</v>
      </c>
      <c r="AE437" s="19">
        <v>0</v>
      </c>
      <c r="AF437">
        <v>0</v>
      </c>
      <c r="AG437" s="19">
        <v>0</v>
      </c>
      <c r="AH437">
        <v>2</v>
      </c>
      <c r="AI437" s="19">
        <v>382</v>
      </c>
      <c r="AJ437">
        <v>1</v>
      </c>
      <c r="AK437" s="19">
        <v>96</v>
      </c>
      <c r="AL437">
        <v>1</v>
      </c>
      <c r="AM437" s="19">
        <v>191</v>
      </c>
      <c r="AN437">
        <v>1</v>
      </c>
      <c r="AO437" s="19">
        <v>205</v>
      </c>
      <c r="AP437">
        <v>1</v>
      </c>
      <c r="AQ437" s="19">
        <v>342</v>
      </c>
    </row>
    <row r="438" spans="1:43" x14ac:dyDescent="0.35">
      <c r="A438" s="18">
        <v>45726</v>
      </c>
      <c r="B438" t="s">
        <v>52</v>
      </c>
      <c r="C438" t="s">
        <v>53</v>
      </c>
      <c r="D438">
        <v>6</v>
      </c>
      <c r="E438">
        <v>2</v>
      </c>
      <c r="F438">
        <v>4</v>
      </c>
      <c r="G438" s="19">
        <v>3280</v>
      </c>
      <c r="H438" s="19">
        <v>2535</v>
      </c>
      <c r="I438" s="19">
        <v>745</v>
      </c>
      <c r="J438" s="19">
        <v>239</v>
      </c>
      <c r="K438" s="19">
        <v>100</v>
      </c>
      <c r="L438" s="19">
        <v>806</v>
      </c>
      <c r="M438" s="19">
        <v>72</v>
      </c>
      <c r="N438" s="19">
        <v>49</v>
      </c>
      <c r="O438" s="19">
        <f t="shared" si="12"/>
        <v>1266</v>
      </c>
      <c r="P438" s="19">
        <f t="shared" si="13"/>
        <v>2014</v>
      </c>
      <c r="Q438" t="s">
        <v>23</v>
      </c>
      <c r="R438" t="s">
        <v>64</v>
      </c>
      <c r="T438">
        <v>1</v>
      </c>
      <c r="U438" s="19">
        <v>1640</v>
      </c>
      <c r="V438">
        <v>0</v>
      </c>
      <c r="W438" s="19">
        <v>0</v>
      </c>
      <c r="X438">
        <v>0</v>
      </c>
      <c r="Y438" s="19">
        <v>0</v>
      </c>
      <c r="Z438">
        <v>0</v>
      </c>
      <c r="AA438" s="19">
        <v>0</v>
      </c>
      <c r="AB438">
        <v>1</v>
      </c>
      <c r="AC438" s="19">
        <v>895</v>
      </c>
      <c r="AD438">
        <v>0</v>
      </c>
      <c r="AE438" s="19">
        <v>0</v>
      </c>
      <c r="AF438">
        <v>0</v>
      </c>
      <c r="AG438" s="19">
        <v>0</v>
      </c>
      <c r="AH438">
        <v>1</v>
      </c>
      <c r="AI438" s="19">
        <v>209</v>
      </c>
      <c r="AJ438">
        <v>1</v>
      </c>
      <c r="AK438" s="19">
        <v>104</v>
      </c>
      <c r="AL438">
        <v>1</v>
      </c>
      <c r="AM438" s="19">
        <v>209</v>
      </c>
      <c r="AN438">
        <v>1</v>
      </c>
      <c r="AO438" s="19">
        <v>224</v>
      </c>
      <c r="AP438">
        <v>0</v>
      </c>
      <c r="AQ438" s="19">
        <v>0</v>
      </c>
    </row>
    <row r="439" spans="1:43" x14ac:dyDescent="0.35">
      <c r="A439" s="18">
        <v>45727</v>
      </c>
      <c r="B439" t="s">
        <v>56</v>
      </c>
      <c r="C439" t="s">
        <v>53</v>
      </c>
      <c r="D439">
        <v>7</v>
      </c>
      <c r="E439">
        <v>2</v>
      </c>
      <c r="F439">
        <v>5</v>
      </c>
      <c r="G439" s="19">
        <v>3473</v>
      </c>
      <c r="H439" s="19">
        <v>2410</v>
      </c>
      <c r="I439" s="19">
        <v>1063</v>
      </c>
      <c r="J439" s="19">
        <v>239</v>
      </c>
      <c r="K439" s="19">
        <v>100</v>
      </c>
      <c r="L439" s="19">
        <v>806</v>
      </c>
      <c r="M439" s="19">
        <v>77</v>
      </c>
      <c r="N439" s="19">
        <v>57</v>
      </c>
      <c r="O439" s="19">
        <f t="shared" si="12"/>
        <v>1279</v>
      </c>
      <c r="P439" s="19">
        <f t="shared" si="13"/>
        <v>2194</v>
      </c>
      <c r="Q439" t="s">
        <v>23</v>
      </c>
      <c r="R439" t="s">
        <v>64</v>
      </c>
      <c r="T439">
        <v>1</v>
      </c>
      <c r="U439" s="19">
        <v>1559</v>
      </c>
      <c r="V439">
        <v>0</v>
      </c>
      <c r="W439" s="19">
        <v>0</v>
      </c>
      <c r="X439">
        <v>0</v>
      </c>
      <c r="Y439" s="19">
        <v>0</v>
      </c>
      <c r="Z439">
        <v>0</v>
      </c>
      <c r="AA439" s="19">
        <v>0</v>
      </c>
      <c r="AB439">
        <v>1</v>
      </c>
      <c r="AC439" s="19">
        <v>851</v>
      </c>
      <c r="AD439">
        <v>0</v>
      </c>
      <c r="AE439" s="19">
        <v>0</v>
      </c>
      <c r="AF439">
        <v>0</v>
      </c>
      <c r="AG439" s="19">
        <v>0</v>
      </c>
      <c r="AH439">
        <v>1</v>
      </c>
      <c r="AI439" s="19">
        <v>198</v>
      </c>
      <c r="AJ439">
        <v>1</v>
      </c>
      <c r="AK439" s="19">
        <v>99</v>
      </c>
      <c r="AL439">
        <v>1</v>
      </c>
      <c r="AM439" s="19">
        <v>198</v>
      </c>
      <c r="AN439">
        <v>1</v>
      </c>
      <c r="AO439" s="19">
        <v>213</v>
      </c>
      <c r="AP439">
        <v>1</v>
      </c>
      <c r="AQ439" s="19">
        <v>354</v>
      </c>
    </row>
    <row r="440" spans="1:43" x14ac:dyDescent="0.35">
      <c r="A440" s="18">
        <v>45728</v>
      </c>
      <c r="B440" t="s">
        <v>57</v>
      </c>
      <c r="C440" t="s">
        <v>53</v>
      </c>
      <c r="D440">
        <v>7</v>
      </c>
      <c r="E440">
        <v>2</v>
      </c>
      <c r="F440">
        <v>5</v>
      </c>
      <c r="G440" s="19">
        <v>3666</v>
      </c>
      <c r="H440" s="19">
        <v>2544</v>
      </c>
      <c r="I440" s="19">
        <v>1122</v>
      </c>
      <c r="J440" s="19">
        <v>239</v>
      </c>
      <c r="K440" s="19">
        <v>100</v>
      </c>
      <c r="L440" s="19">
        <v>806</v>
      </c>
      <c r="M440" s="19">
        <v>81</v>
      </c>
      <c r="N440" s="19">
        <v>57</v>
      </c>
      <c r="O440" s="19">
        <f t="shared" si="12"/>
        <v>1283</v>
      </c>
      <c r="P440" s="19">
        <f t="shared" si="13"/>
        <v>2383</v>
      </c>
      <c r="Q440" t="s">
        <v>23</v>
      </c>
      <c r="R440" t="s">
        <v>64</v>
      </c>
      <c r="T440">
        <v>1</v>
      </c>
      <c r="U440" s="19">
        <v>1646</v>
      </c>
      <c r="V440">
        <v>0</v>
      </c>
      <c r="W440" s="19">
        <v>0</v>
      </c>
      <c r="X440">
        <v>0</v>
      </c>
      <c r="Y440" s="19">
        <v>0</v>
      </c>
      <c r="Z440">
        <v>0</v>
      </c>
      <c r="AA440" s="19">
        <v>0</v>
      </c>
      <c r="AB440">
        <v>1</v>
      </c>
      <c r="AC440" s="19">
        <v>898</v>
      </c>
      <c r="AD440">
        <v>0</v>
      </c>
      <c r="AE440" s="19">
        <v>0</v>
      </c>
      <c r="AF440">
        <v>0</v>
      </c>
      <c r="AG440" s="19">
        <v>0</v>
      </c>
      <c r="AH440">
        <v>1</v>
      </c>
      <c r="AI440" s="19">
        <v>209</v>
      </c>
      <c r="AJ440">
        <v>1</v>
      </c>
      <c r="AK440" s="19">
        <v>105</v>
      </c>
      <c r="AL440">
        <v>1</v>
      </c>
      <c r="AM440" s="19">
        <v>209</v>
      </c>
      <c r="AN440">
        <v>1</v>
      </c>
      <c r="AO440" s="19">
        <v>224</v>
      </c>
      <c r="AP440">
        <v>1</v>
      </c>
      <c r="AQ440" s="19">
        <v>374</v>
      </c>
    </row>
    <row r="441" spans="1:43" x14ac:dyDescent="0.35">
      <c r="A441" s="18">
        <v>45729</v>
      </c>
      <c r="B441" t="s">
        <v>58</v>
      </c>
      <c r="C441" t="s">
        <v>53</v>
      </c>
      <c r="D441">
        <v>7</v>
      </c>
      <c r="E441">
        <v>3</v>
      </c>
      <c r="F441">
        <v>4</v>
      </c>
      <c r="G441" s="19">
        <v>3859</v>
      </c>
      <c r="H441" s="19">
        <v>3216</v>
      </c>
      <c r="I441" s="19">
        <v>643</v>
      </c>
      <c r="J441" s="19">
        <v>239</v>
      </c>
      <c r="K441" s="19">
        <v>100</v>
      </c>
      <c r="L441" s="19">
        <v>806</v>
      </c>
      <c r="M441" s="19">
        <v>85</v>
      </c>
      <c r="N441" s="19">
        <v>57</v>
      </c>
      <c r="O441" s="19">
        <f t="shared" si="12"/>
        <v>1287</v>
      </c>
      <c r="P441" s="19">
        <f t="shared" si="13"/>
        <v>2572</v>
      </c>
      <c r="Q441" t="s">
        <v>23</v>
      </c>
      <c r="R441" t="s">
        <v>64</v>
      </c>
      <c r="T441">
        <v>1</v>
      </c>
      <c r="U441" s="19">
        <v>1415</v>
      </c>
      <c r="V441">
        <v>0</v>
      </c>
      <c r="W441" s="19">
        <v>0</v>
      </c>
      <c r="X441">
        <v>0</v>
      </c>
      <c r="Y441" s="19">
        <v>0</v>
      </c>
      <c r="Z441">
        <v>1</v>
      </c>
      <c r="AA441" s="19">
        <v>1029</v>
      </c>
      <c r="AB441">
        <v>1</v>
      </c>
      <c r="AC441" s="19">
        <v>772</v>
      </c>
      <c r="AD441">
        <v>0</v>
      </c>
      <c r="AE441" s="19">
        <v>0</v>
      </c>
      <c r="AF441">
        <v>0</v>
      </c>
      <c r="AG441" s="19">
        <v>0</v>
      </c>
      <c r="AH441">
        <v>1</v>
      </c>
      <c r="AI441" s="19">
        <v>180</v>
      </c>
      <c r="AJ441">
        <v>1</v>
      </c>
      <c r="AK441" s="19">
        <v>90</v>
      </c>
      <c r="AL441">
        <v>1</v>
      </c>
      <c r="AM441" s="19">
        <v>180</v>
      </c>
      <c r="AN441">
        <v>1</v>
      </c>
      <c r="AO441" s="19">
        <v>193</v>
      </c>
      <c r="AP441">
        <v>0</v>
      </c>
      <c r="AQ441" s="19">
        <v>0</v>
      </c>
    </row>
    <row r="442" spans="1:43" x14ac:dyDescent="0.35">
      <c r="A442" s="18">
        <v>45730</v>
      </c>
      <c r="B442" t="s">
        <v>59</v>
      </c>
      <c r="C442" t="s">
        <v>53</v>
      </c>
      <c r="D442">
        <v>8</v>
      </c>
      <c r="E442">
        <v>3</v>
      </c>
      <c r="F442">
        <v>5</v>
      </c>
      <c r="G442" s="19">
        <v>4052</v>
      </c>
      <c r="H442" s="19">
        <v>3117</v>
      </c>
      <c r="I442" s="19">
        <v>935</v>
      </c>
      <c r="J442" s="19">
        <v>239</v>
      </c>
      <c r="K442" s="19">
        <v>100</v>
      </c>
      <c r="L442" s="19">
        <v>806</v>
      </c>
      <c r="M442" s="19">
        <v>89</v>
      </c>
      <c r="N442" s="19">
        <v>65</v>
      </c>
      <c r="O442" s="19">
        <f t="shared" si="12"/>
        <v>1299</v>
      </c>
      <c r="P442" s="19">
        <f t="shared" si="13"/>
        <v>2753</v>
      </c>
      <c r="Q442" t="s">
        <v>23</v>
      </c>
      <c r="R442" t="s">
        <v>64</v>
      </c>
      <c r="T442">
        <v>1</v>
      </c>
      <c r="U442" s="19">
        <v>1371</v>
      </c>
      <c r="V442">
        <v>0</v>
      </c>
      <c r="W442" s="19">
        <v>0</v>
      </c>
      <c r="X442">
        <v>0</v>
      </c>
      <c r="Y442" s="19">
        <v>0</v>
      </c>
      <c r="Z442">
        <v>1</v>
      </c>
      <c r="AA442" s="19">
        <v>997</v>
      </c>
      <c r="AB442">
        <v>1</v>
      </c>
      <c r="AC442" s="19">
        <v>748</v>
      </c>
      <c r="AD442">
        <v>0</v>
      </c>
      <c r="AE442" s="19">
        <v>0</v>
      </c>
      <c r="AF442">
        <v>0</v>
      </c>
      <c r="AG442" s="19">
        <v>0</v>
      </c>
      <c r="AH442">
        <v>1</v>
      </c>
      <c r="AI442" s="19">
        <v>175</v>
      </c>
      <c r="AJ442">
        <v>1</v>
      </c>
      <c r="AK442" s="19">
        <v>87</v>
      </c>
      <c r="AL442">
        <v>1</v>
      </c>
      <c r="AM442" s="19">
        <v>175</v>
      </c>
      <c r="AN442">
        <v>1</v>
      </c>
      <c r="AO442" s="19">
        <v>187</v>
      </c>
      <c r="AP442">
        <v>1</v>
      </c>
      <c r="AQ442" s="19">
        <v>312</v>
      </c>
    </row>
    <row r="443" spans="1:43" x14ac:dyDescent="0.35">
      <c r="A443" s="18">
        <v>45731</v>
      </c>
      <c r="B443" t="s">
        <v>60</v>
      </c>
      <c r="C443" t="s">
        <v>61</v>
      </c>
      <c r="D443">
        <v>10</v>
      </c>
      <c r="E443">
        <v>4</v>
      </c>
      <c r="F443">
        <v>6</v>
      </c>
      <c r="G443" s="19">
        <v>5017</v>
      </c>
      <c r="H443" s="19">
        <v>3017</v>
      </c>
      <c r="I443" s="19">
        <v>2000</v>
      </c>
      <c r="J443" s="19">
        <v>239</v>
      </c>
      <c r="K443" s="19">
        <v>100</v>
      </c>
      <c r="L443" s="19">
        <v>806</v>
      </c>
      <c r="M443" s="19">
        <v>111</v>
      </c>
      <c r="N443" s="19">
        <v>81</v>
      </c>
      <c r="O443" s="19">
        <f t="shared" si="12"/>
        <v>1337</v>
      </c>
      <c r="P443" s="19">
        <f t="shared" si="13"/>
        <v>3680</v>
      </c>
      <c r="Q443" t="s">
        <v>23</v>
      </c>
      <c r="R443" t="s">
        <v>64</v>
      </c>
      <c r="T443">
        <v>1</v>
      </c>
      <c r="U443" s="19">
        <v>1257</v>
      </c>
      <c r="V443">
        <v>0</v>
      </c>
      <c r="W443" s="19">
        <v>0</v>
      </c>
      <c r="X443">
        <v>0</v>
      </c>
      <c r="Y443" s="19">
        <v>0</v>
      </c>
      <c r="Z443">
        <v>1</v>
      </c>
      <c r="AA443" s="19">
        <v>914</v>
      </c>
      <c r="AB443">
        <v>1</v>
      </c>
      <c r="AC443" s="19">
        <v>686</v>
      </c>
      <c r="AD443">
        <v>1</v>
      </c>
      <c r="AE443" s="19">
        <v>1143</v>
      </c>
      <c r="AF443">
        <v>0</v>
      </c>
      <c r="AG443" s="19">
        <v>0</v>
      </c>
      <c r="AH443">
        <v>2</v>
      </c>
      <c r="AI443" s="19">
        <v>320</v>
      </c>
      <c r="AJ443">
        <v>1</v>
      </c>
      <c r="AK443" s="19">
        <v>80</v>
      </c>
      <c r="AL443">
        <v>1</v>
      </c>
      <c r="AM443" s="19">
        <v>160</v>
      </c>
      <c r="AN443">
        <v>1</v>
      </c>
      <c r="AO443" s="19">
        <v>171</v>
      </c>
      <c r="AP443">
        <v>1</v>
      </c>
      <c r="AQ443" s="19">
        <v>286</v>
      </c>
    </row>
    <row r="444" spans="1:43" x14ac:dyDescent="0.35">
      <c r="A444" s="18">
        <v>45732</v>
      </c>
      <c r="B444" t="s">
        <v>62</v>
      </c>
      <c r="C444" t="s">
        <v>61</v>
      </c>
      <c r="D444">
        <v>9</v>
      </c>
      <c r="E444">
        <v>3</v>
      </c>
      <c r="F444">
        <v>6</v>
      </c>
      <c r="G444" s="19">
        <v>4631</v>
      </c>
      <c r="H444" s="19">
        <v>2724</v>
      </c>
      <c r="I444" s="19">
        <v>1907</v>
      </c>
      <c r="J444" s="19">
        <v>239</v>
      </c>
      <c r="K444" s="19">
        <v>100</v>
      </c>
      <c r="L444" s="19">
        <v>806</v>
      </c>
      <c r="M444" s="19">
        <v>102</v>
      </c>
      <c r="N444" s="19">
        <v>73</v>
      </c>
      <c r="O444" s="19">
        <f t="shared" si="12"/>
        <v>1320</v>
      </c>
      <c r="P444" s="19">
        <f t="shared" si="13"/>
        <v>3311</v>
      </c>
      <c r="Q444" t="s">
        <v>23</v>
      </c>
      <c r="R444" t="s">
        <v>64</v>
      </c>
      <c r="T444">
        <v>1</v>
      </c>
      <c r="U444" s="19">
        <v>1199</v>
      </c>
      <c r="V444">
        <v>0</v>
      </c>
      <c r="W444" s="19">
        <v>0</v>
      </c>
      <c r="X444">
        <v>0</v>
      </c>
      <c r="Y444" s="19">
        <v>0</v>
      </c>
      <c r="Z444">
        <v>1</v>
      </c>
      <c r="AA444" s="19">
        <v>872</v>
      </c>
      <c r="AB444">
        <v>1</v>
      </c>
      <c r="AC444" s="19">
        <v>654</v>
      </c>
      <c r="AD444">
        <v>1</v>
      </c>
      <c r="AE444" s="19">
        <v>1090</v>
      </c>
      <c r="AF444">
        <v>0</v>
      </c>
      <c r="AG444" s="19">
        <v>0</v>
      </c>
      <c r="AH444">
        <v>1</v>
      </c>
      <c r="AI444" s="19">
        <v>153</v>
      </c>
      <c r="AJ444">
        <v>1</v>
      </c>
      <c r="AK444" s="19">
        <v>76</v>
      </c>
      <c r="AL444">
        <v>1</v>
      </c>
      <c r="AM444" s="19">
        <v>153</v>
      </c>
      <c r="AN444">
        <v>1</v>
      </c>
      <c r="AO444" s="19">
        <v>163</v>
      </c>
      <c r="AP444">
        <v>1</v>
      </c>
      <c r="AQ444" s="19">
        <v>272</v>
      </c>
    </row>
    <row r="445" spans="1:43" x14ac:dyDescent="0.35">
      <c r="A445" s="18">
        <v>45733</v>
      </c>
      <c r="B445" t="s">
        <v>52</v>
      </c>
      <c r="C445" t="s">
        <v>53</v>
      </c>
      <c r="D445">
        <v>6</v>
      </c>
      <c r="E445">
        <v>2</v>
      </c>
      <c r="F445">
        <v>4</v>
      </c>
      <c r="G445" s="19">
        <v>3280</v>
      </c>
      <c r="H445" s="19">
        <v>2535</v>
      </c>
      <c r="I445" s="19">
        <v>745</v>
      </c>
      <c r="J445" s="19">
        <v>239</v>
      </c>
      <c r="K445" s="19">
        <v>100</v>
      </c>
      <c r="L445" s="19">
        <v>806</v>
      </c>
      <c r="M445" s="19">
        <v>72</v>
      </c>
      <c r="N445" s="19">
        <v>49</v>
      </c>
      <c r="O445" s="19">
        <f t="shared" si="12"/>
        <v>1266</v>
      </c>
      <c r="P445" s="19">
        <f t="shared" si="13"/>
        <v>2014</v>
      </c>
      <c r="Q445" t="s">
        <v>23</v>
      </c>
      <c r="R445" t="s">
        <v>64</v>
      </c>
      <c r="T445">
        <v>1</v>
      </c>
      <c r="U445" s="19">
        <v>1640</v>
      </c>
      <c r="V445">
        <v>0</v>
      </c>
      <c r="W445" s="19">
        <v>0</v>
      </c>
      <c r="X445">
        <v>0</v>
      </c>
      <c r="Y445" s="19">
        <v>0</v>
      </c>
      <c r="Z445">
        <v>0</v>
      </c>
      <c r="AA445" s="19">
        <v>0</v>
      </c>
      <c r="AB445">
        <v>1</v>
      </c>
      <c r="AC445" s="19">
        <v>895</v>
      </c>
      <c r="AD445">
        <v>0</v>
      </c>
      <c r="AE445" s="19">
        <v>0</v>
      </c>
      <c r="AF445">
        <v>0</v>
      </c>
      <c r="AG445" s="19">
        <v>0</v>
      </c>
      <c r="AH445">
        <v>1</v>
      </c>
      <c r="AI445" s="19">
        <v>209</v>
      </c>
      <c r="AJ445">
        <v>1</v>
      </c>
      <c r="AK445" s="19">
        <v>104</v>
      </c>
      <c r="AL445">
        <v>1</v>
      </c>
      <c r="AM445" s="19">
        <v>209</v>
      </c>
      <c r="AN445">
        <v>1</v>
      </c>
      <c r="AO445" s="19">
        <v>224</v>
      </c>
      <c r="AP445">
        <v>0</v>
      </c>
      <c r="AQ445" s="19">
        <v>0</v>
      </c>
    </row>
    <row r="446" spans="1:43" x14ac:dyDescent="0.35">
      <c r="A446" s="18">
        <v>45734</v>
      </c>
      <c r="B446" t="s">
        <v>56</v>
      </c>
      <c r="C446" t="s">
        <v>53</v>
      </c>
      <c r="D446">
        <v>7</v>
      </c>
      <c r="E446">
        <v>2</v>
      </c>
      <c r="F446">
        <v>5</v>
      </c>
      <c r="G446" s="19">
        <v>3473</v>
      </c>
      <c r="H446" s="19">
        <v>2410</v>
      </c>
      <c r="I446" s="19">
        <v>1063</v>
      </c>
      <c r="J446" s="19">
        <v>239</v>
      </c>
      <c r="K446" s="19">
        <v>100</v>
      </c>
      <c r="L446" s="19">
        <v>806</v>
      </c>
      <c r="M446" s="19">
        <v>77</v>
      </c>
      <c r="N446" s="19">
        <v>57</v>
      </c>
      <c r="O446" s="19">
        <f t="shared" si="12"/>
        <v>1279</v>
      </c>
      <c r="P446" s="19">
        <f t="shared" si="13"/>
        <v>2194</v>
      </c>
      <c r="Q446" t="s">
        <v>23</v>
      </c>
      <c r="R446" t="s">
        <v>64</v>
      </c>
      <c r="T446">
        <v>1</v>
      </c>
      <c r="U446" s="19">
        <v>1559</v>
      </c>
      <c r="V446">
        <v>0</v>
      </c>
      <c r="W446" s="19">
        <v>0</v>
      </c>
      <c r="X446">
        <v>0</v>
      </c>
      <c r="Y446" s="19">
        <v>0</v>
      </c>
      <c r="Z446">
        <v>0</v>
      </c>
      <c r="AA446" s="19">
        <v>0</v>
      </c>
      <c r="AB446">
        <v>1</v>
      </c>
      <c r="AC446" s="19">
        <v>851</v>
      </c>
      <c r="AD446">
        <v>0</v>
      </c>
      <c r="AE446" s="19">
        <v>0</v>
      </c>
      <c r="AF446">
        <v>0</v>
      </c>
      <c r="AG446" s="19">
        <v>0</v>
      </c>
      <c r="AH446">
        <v>1</v>
      </c>
      <c r="AI446" s="19">
        <v>198</v>
      </c>
      <c r="AJ446">
        <v>1</v>
      </c>
      <c r="AK446" s="19">
        <v>99</v>
      </c>
      <c r="AL446">
        <v>1</v>
      </c>
      <c r="AM446" s="19">
        <v>198</v>
      </c>
      <c r="AN446">
        <v>1</v>
      </c>
      <c r="AO446" s="19">
        <v>213</v>
      </c>
      <c r="AP446">
        <v>1</v>
      </c>
      <c r="AQ446" s="19">
        <v>354</v>
      </c>
    </row>
    <row r="447" spans="1:43" x14ac:dyDescent="0.35">
      <c r="A447" s="18">
        <v>45735</v>
      </c>
      <c r="B447" t="s">
        <v>57</v>
      </c>
      <c r="C447" t="s">
        <v>53</v>
      </c>
      <c r="D447">
        <v>7</v>
      </c>
      <c r="E447">
        <v>2</v>
      </c>
      <c r="F447">
        <v>5</v>
      </c>
      <c r="G447" s="19">
        <v>3666</v>
      </c>
      <c r="H447" s="19">
        <v>2544</v>
      </c>
      <c r="I447" s="19">
        <v>1122</v>
      </c>
      <c r="J447" s="19">
        <v>239</v>
      </c>
      <c r="K447" s="19">
        <v>100</v>
      </c>
      <c r="L447" s="19">
        <v>806</v>
      </c>
      <c r="M447" s="19">
        <v>81</v>
      </c>
      <c r="N447" s="19">
        <v>57</v>
      </c>
      <c r="O447" s="19">
        <f t="shared" si="12"/>
        <v>1283</v>
      </c>
      <c r="P447" s="19">
        <f t="shared" si="13"/>
        <v>2383</v>
      </c>
      <c r="Q447" t="s">
        <v>23</v>
      </c>
      <c r="R447" t="s">
        <v>64</v>
      </c>
      <c r="T447">
        <v>1</v>
      </c>
      <c r="U447" s="19">
        <v>1646</v>
      </c>
      <c r="V447">
        <v>0</v>
      </c>
      <c r="W447" s="19">
        <v>0</v>
      </c>
      <c r="X447">
        <v>0</v>
      </c>
      <c r="Y447" s="19">
        <v>0</v>
      </c>
      <c r="Z447">
        <v>0</v>
      </c>
      <c r="AA447" s="19">
        <v>0</v>
      </c>
      <c r="AB447">
        <v>1</v>
      </c>
      <c r="AC447" s="19">
        <v>898</v>
      </c>
      <c r="AD447">
        <v>0</v>
      </c>
      <c r="AE447" s="19">
        <v>0</v>
      </c>
      <c r="AF447">
        <v>0</v>
      </c>
      <c r="AG447" s="19">
        <v>0</v>
      </c>
      <c r="AH447">
        <v>1</v>
      </c>
      <c r="AI447" s="19">
        <v>209</v>
      </c>
      <c r="AJ447">
        <v>1</v>
      </c>
      <c r="AK447" s="19">
        <v>105</v>
      </c>
      <c r="AL447">
        <v>1</v>
      </c>
      <c r="AM447" s="19">
        <v>209</v>
      </c>
      <c r="AN447">
        <v>1</v>
      </c>
      <c r="AO447" s="19">
        <v>224</v>
      </c>
      <c r="AP447">
        <v>1</v>
      </c>
      <c r="AQ447" s="19">
        <v>374</v>
      </c>
    </row>
    <row r="448" spans="1:43" x14ac:dyDescent="0.35">
      <c r="A448" s="18">
        <v>45736</v>
      </c>
      <c r="B448" t="s">
        <v>58</v>
      </c>
      <c r="C448" t="s">
        <v>53</v>
      </c>
      <c r="D448">
        <v>7</v>
      </c>
      <c r="E448">
        <v>2</v>
      </c>
      <c r="F448">
        <v>5</v>
      </c>
      <c r="G448" s="19">
        <v>3859</v>
      </c>
      <c r="H448" s="19">
        <v>2678</v>
      </c>
      <c r="I448" s="19">
        <v>1181</v>
      </c>
      <c r="J448" s="19">
        <v>239</v>
      </c>
      <c r="K448" s="19">
        <v>100</v>
      </c>
      <c r="L448" s="19">
        <v>806</v>
      </c>
      <c r="M448" s="19">
        <v>85</v>
      </c>
      <c r="N448" s="19">
        <v>57</v>
      </c>
      <c r="O448" s="19">
        <f t="shared" si="12"/>
        <v>1287</v>
      </c>
      <c r="P448" s="19">
        <f t="shared" si="13"/>
        <v>2572</v>
      </c>
      <c r="Q448" t="s">
        <v>23</v>
      </c>
      <c r="R448" t="s">
        <v>64</v>
      </c>
      <c r="T448">
        <v>1</v>
      </c>
      <c r="U448" s="19">
        <v>1733</v>
      </c>
      <c r="V448">
        <v>0</v>
      </c>
      <c r="W448" s="19">
        <v>0</v>
      </c>
      <c r="X448">
        <v>0</v>
      </c>
      <c r="Y448" s="19">
        <v>0</v>
      </c>
      <c r="Z448">
        <v>0</v>
      </c>
      <c r="AA448" s="19">
        <v>0</v>
      </c>
      <c r="AB448">
        <v>1</v>
      </c>
      <c r="AC448" s="19">
        <v>945</v>
      </c>
      <c r="AD448">
        <v>0</v>
      </c>
      <c r="AE448" s="19">
        <v>0</v>
      </c>
      <c r="AF448">
        <v>0</v>
      </c>
      <c r="AG448" s="19">
        <v>0</v>
      </c>
      <c r="AH448">
        <v>1</v>
      </c>
      <c r="AI448" s="19">
        <v>221</v>
      </c>
      <c r="AJ448">
        <v>1</v>
      </c>
      <c r="AK448" s="19">
        <v>110</v>
      </c>
      <c r="AL448">
        <v>1</v>
      </c>
      <c r="AM448" s="19">
        <v>221</v>
      </c>
      <c r="AN448">
        <v>1</v>
      </c>
      <c r="AO448" s="19">
        <v>236</v>
      </c>
      <c r="AP448">
        <v>1</v>
      </c>
      <c r="AQ448" s="19">
        <v>394</v>
      </c>
    </row>
    <row r="449" spans="1:43" x14ac:dyDescent="0.35">
      <c r="A449" s="18">
        <v>45737</v>
      </c>
      <c r="B449" t="s">
        <v>59</v>
      </c>
      <c r="C449" t="s">
        <v>53</v>
      </c>
      <c r="D449">
        <v>8</v>
      </c>
      <c r="E449">
        <v>3</v>
      </c>
      <c r="F449">
        <v>5</v>
      </c>
      <c r="G449" s="19">
        <v>4052</v>
      </c>
      <c r="H449" s="19">
        <v>2879</v>
      </c>
      <c r="I449" s="19">
        <v>1173</v>
      </c>
      <c r="J449" s="19">
        <v>239</v>
      </c>
      <c r="K449" s="19">
        <v>100</v>
      </c>
      <c r="L449" s="19">
        <v>806</v>
      </c>
      <c r="M449" s="19">
        <v>89</v>
      </c>
      <c r="N449" s="19">
        <v>65</v>
      </c>
      <c r="O449" s="19">
        <f t="shared" si="12"/>
        <v>1299</v>
      </c>
      <c r="P449" s="19">
        <f t="shared" si="13"/>
        <v>2753</v>
      </c>
      <c r="Q449" t="s">
        <v>23</v>
      </c>
      <c r="R449" t="s">
        <v>64</v>
      </c>
      <c r="T449">
        <v>1</v>
      </c>
      <c r="U449" s="19">
        <v>1721</v>
      </c>
      <c r="V449">
        <v>0</v>
      </c>
      <c r="W449" s="19">
        <v>0</v>
      </c>
      <c r="X449">
        <v>0</v>
      </c>
      <c r="Y449" s="19">
        <v>0</v>
      </c>
      <c r="Z449">
        <v>0</v>
      </c>
      <c r="AA449" s="19">
        <v>0</v>
      </c>
      <c r="AB449">
        <v>1</v>
      </c>
      <c r="AC449" s="19">
        <v>939</v>
      </c>
      <c r="AD449">
        <v>0</v>
      </c>
      <c r="AE449" s="19">
        <v>0</v>
      </c>
      <c r="AF449">
        <v>0</v>
      </c>
      <c r="AG449" s="19">
        <v>0</v>
      </c>
      <c r="AH449">
        <v>2</v>
      </c>
      <c r="AI449" s="19">
        <v>438</v>
      </c>
      <c r="AJ449">
        <v>1</v>
      </c>
      <c r="AK449" s="19">
        <v>110</v>
      </c>
      <c r="AL449">
        <v>1</v>
      </c>
      <c r="AM449" s="19">
        <v>219</v>
      </c>
      <c r="AN449">
        <v>1</v>
      </c>
      <c r="AO449" s="19">
        <v>235</v>
      </c>
      <c r="AP449">
        <v>1</v>
      </c>
      <c r="AQ449" s="19">
        <v>391</v>
      </c>
    </row>
    <row r="450" spans="1:43" x14ac:dyDescent="0.35">
      <c r="A450" s="18">
        <v>45738</v>
      </c>
      <c r="B450" t="s">
        <v>60</v>
      </c>
      <c r="C450" t="s">
        <v>61</v>
      </c>
      <c r="D450">
        <v>10</v>
      </c>
      <c r="E450">
        <v>5</v>
      </c>
      <c r="F450">
        <v>5</v>
      </c>
      <c r="G450" s="19">
        <v>5017</v>
      </c>
      <c r="H450" s="19">
        <v>3930</v>
      </c>
      <c r="I450" s="19">
        <v>1088</v>
      </c>
      <c r="J450" s="19">
        <v>239</v>
      </c>
      <c r="K450" s="19">
        <v>100</v>
      </c>
      <c r="L450" s="19">
        <v>806</v>
      </c>
      <c r="M450" s="19">
        <v>111</v>
      </c>
      <c r="N450" s="19">
        <v>81</v>
      </c>
      <c r="O450" s="19">
        <f t="shared" si="12"/>
        <v>1337</v>
      </c>
      <c r="P450" s="19">
        <f t="shared" si="13"/>
        <v>3680</v>
      </c>
      <c r="Q450" t="s">
        <v>23</v>
      </c>
      <c r="R450" t="s">
        <v>64</v>
      </c>
      <c r="T450">
        <v>1</v>
      </c>
      <c r="U450" s="19">
        <v>1595</v>
      </c>
      <c r="V450">
        <v>0</v>
      </c>
      <c r="W450" s="19">
        <v>0</v>
      </c>
      <c r="X450">
        <v>0</v>
      </c>
      <c r="Y450" s="19">
        <v>0</v>
      </c>
      <c r="Z450">
        <v>1</v>
      </c>
      <c r="AA450" s="19">
        <v>1160</v>
      </c>
      <c r="AB450">
        <v>1</v>
      </c>
      <c r="AC450" s="19">
        <v>870</v>
      </c>
      <c r="AD450">
        <v>0</v>
      </c>
      <c r="AE450" s="19">
        <v>0</v>
      </c>
      <c r="AF450">
        <v>0</v>
      </c>
      <c r="AG450" s="19">
        <v>0</v>
      </c>
      <c r="AH450">
        <v>2</v>
      </c>
      <c r="AI450" s="19">
        <v>406</v>
      </c>
      <c r="AJ450">
        <v>2</v>
      </c>
      <c r="AK450" s="19">
        <v>203</v>
      </c>
      <c r="AL450">
        <v>1</v>
      </c>
      <c r="AM450" s="19">
        <v>203</v>
      </c>
      <c r="AN450">
        <v>1</v>
      </c>
      <c r="AO450" s="19">
        <v>218</v>
      </c>
      <c r="AP450">
        <v>1</v>
      </c>
      <c r="AQ450" s="19">
        <v>362</v>
      </c>
    </row>
    <row r="451" spans="1:43" x14ac:dyDescent="0.35">
      <c r="A451" s="18">
        <v>45739</v>
      </c>
      <c r="B451" t="s">
        <v>62</v>
      </c>
      <c r="C451" t="s">
        <v>61</v>
      </c>
      <c r="D451">
        <v>9</v>
      </c>
      <c r="E451">
        <v>4</v>
      </c>
      <c r="F451">
        <v>5</v>
      </c>
      <c r="G451" s="19">
        <v>4631</v>
      </c>
      <c r="H451" s="19">
        <v>3606</v>
      </c>
      <c r="I451" s="19">
        <v>1025</v>
      </c>
      <c r="J451" s="19">
        <v>239</v>
      </c>
      <c r="K451" s="19">
        <v>100</v>
      </c>
      <c r="L451" s="19">
        <v>806</v>
      </c>
      <c r="M451" s="19">
        <v>102</v>
      </c>
      <c r="N451" s="19">
        <v>73</v>
      </c>
      <c r="O451" s="19">
        <f t="shared" si="12"/>
        <v>1320</v>
      </c>
      <c r="P451" s="19">
        <f t="shared" si="13"/>
        <v>3311</v>
      </c>
      <c r="Q451" t="s">
        <v>23</v>
      </c>
      <c r="R451" t="s">
        <v>64</v>
      </c>
      <c r="T451">
        <v>1</v>
      </c>
      <c r="U451" s="19">
        <v>1503</v>
      </c>
      <c r="V451">
        <v>0</v>
      </c>
      <c r="W451" s="19">
        <v>0</v>
      </c>
      <c r="X451">
        <v>0</v>
      </c>
      <c r="Y451" s="19">
        <v>0</v>
      </c>
      <c r="Z451">
        <v>1</v>
      </c>
      <c r="AA451" s="19">
        <v>1093</v>
      </c>
      <c r="AB451">
        <v>1</v>
      </c>
      <c r="AC451" s="19">
        <v>820</v>
      </c>
      <c r="AD451">
        <v>0</v>
      </c>
      <c r="AE451" s="19">
        <v>0</v>
      </c>
      <c r="AF451">
        <v>0</v>
      </c>
      <c r="AG451" s="19">
        <v>0</v>
      </c>
      <c r="AH451">
        <v>2</v>
      </c>
      <c r="AI451" s="19">
        <v>382</v>
      </c>
      <c r="AJ451">
        <v>1</v>
      </c>
      <c r="AK451" s="19">
        <v>96</v>
      </c>
      <c r="AL451">
        <v>1</v>
      </c>
      <c r="AM451" s="19">
        <v>191</v>
      </c>
      <c r="AN451">
        <v>1</v>
      </c>
      <c r="AO451" s="19">
        <v>205</v>
      </c>
      <c r="AP451">
        <v>1</v>
      </c>
      <c r="AQ451" s="19">
        <v>342</v>
      </c>
    </row>
    <row r="452" spans="1:43" x14ac:dyDescent="0.35">
      <c r="A452" s="18">
        <v>45740</v>
      </c>
      <c r="B452" t="s">
        <v>52</v>
      </c>
      <c r="C452" t="s">
        <v>53</v>
      </c>
      <c r="D452">
        <v>6</v>
      </c>
      <c r="E452">
        <v>2</v>
      </c>
      <c r="F452">
        <v>4</v>
      </c>
      <c r="G452" s="19">
        <v>3280</v>
      </c>
      <c r="H452" s="19">
        <v>2535</v>
      </c>
      <c r="I452" s="19">
        <v>745</v>
      </c>
      <c r="J452" s="19">
        <v>239</v>
      </c>
      <c r="K452" s="19">
        <v>100</v>
      </c>
      <c r="L452" s="19">
        <v>806</v>
      </c>
      <c r="M452" s="19">
        <v>72</v>
      </c>
      <c r="N452" s="19">
        <v>49</v>
      </c>
      <c r="O452" s="19">
        <f t="shared" ref="O452:O515" si="14">SUM(J452:N452)</f>
        <v>1266</v>
      </c>
      <c r="P452" s="19">
        <f t="shared" ref="P452:P515" si="15">G452-O452</f>
        <v>2014</v>
      </c>
      <c r="Q452" t="s">
        <v>23</v>
      </c>
      <c r="R452" t="s">
        <v>64</v>
      </c>
      <c r="T452">
        <v>1</v>
      </c>
      <c r="U452" s="19">
        <v>1640</v>
      </c>
      <c r="V452">
        <v>0</v>
      </c>
      <c r="W452" s="19">
        <v>0</v>
      </c>
      <c r="X452">
        <v>0</v>
      </c>
      <c r="Y452" s="19">
        <v>0</v>
      </c>
      <c r="Z452">
        <v>0</v>
      </c>
      <c r="AA452" s="19">
        <v>0</v>
      </c>
      <c r="AB452">
        <v>1</v>
      </c>
      <c r="AC452" s="19">
        <v>895</v>
      </c>
      <c r="AD452">
        <v>0</v>
      </c>
      <c r="AE452" s="19">
        <v>0</v>
      </c>
      <c r="AF452">
        <v>0</v>
      </c>
      <c r="AG452" s="19">
        <v>0</v>
      </c>
      <c r="AH452">
        <v>1</v>
      </c>
      <c r="AI452" s="19">
        <v>209</v>
      </c>
      <c r="AJ452">
        <v>1</v>
      </c>
      <c r="AK452" s="19">
        <v>104</v>
      </c>
      <c r="AL452">
        <v>1</v>
      </c>
      <c r="AM452" s="19">
        <v>209</v>
      </c>
      <c r="AN452">
        <v>1</v>
      </c>
      <c r="AO452" s="19">
        <v>224</v>
      </c>
      <c r="AP452">
        <v>0</v>
      </c>
      <c r="AQ452" s="19">
        <v>0</v>
      </c>
    </row>
    <row r="453" spans="1:43" x14ac:dyDescent="0.35">
      <c r="A453" s="18">
        <v>45741</v>
      </c>
      <c r="B453" t="s">
        <v>56</v>
      </c>
      <c r="C453" t="s">
        <v>53</v>
      </c>
      <c r="D453">
        <v>7</v>
      </c>
      <c r="E453">
        <v>2</v>
      </c>
      <c r="F453">
        <v>5</v>
      </c>
      <c r="G453" s="19">
        <v>3473</v>
      </c>
      <c r="H453" s="19">
        <v>2410</v>
      </c>
      <c r="I453" s="19">
        <v>1063</v>
      </c>
      <c r="J453" s="19">
        <v>239</v>
      </c>
      <c r="K453" s="19">
        <v>100</v>
      </c>
      <c r="L453" s="19">
        <v>806</v>
      </c>
      <c r="M453" s="19">
        <v>77</v>
      </c>
      <c r="N453" s="19">
        <v>57</v>
      </c>
      <c r="O453" s="19">
        <f t="shared" si="14"/>
        <v>1279</v>
      </c>
      <c r="P453" s="19">
        <f t="shared" si="15"/>
        <v>2194</v>
      </c>
      <c r="Q453" t="s">
        <v>23</v>
      </c>
      <c r="R453" t="s">
        <v>64</v>
      </c>
      <c r="T453">
        <v>1</v>
      </c>
      <c r="U453" s="19">
        <v>1559</v>
      </c>
      <c r="V453">
        <v>0</v>
      </c>
      <c r="W453" s="19">
        <v>0</v>
      </c>
      <c r="X453">
        <v>0</v>
      </c>
      <c r="Y453" s="19">
        <v>0</v>
      </c>
      <c r="Z453">
        <v>0</v>
      </c>
      <c r="AA453" s="19">
        <v>0</v>
      </c>
      <c r="AB453">
        <v>1</v>
      </c>
      <c r="AC453" s="19">
        <v>851</v>
      </c>
      <c r="AD453">
        <v>0</v>
      </c>
      <c r="AE453" s="19">
        <v>0</v>
      </c>
      <c r="AF453">
        <v>0</v>
      </c>
      <c r="AG453" s="19">
        <v>0</v>
      </c>
      <c r="AH453">
        <v>1</v>
      </c>
      <c r="AI453" s="19">
        <v>198</v>
      </c>
      <c r="AJ453">
        <v>1</v>
      </c>
      <c r="AK453" s="19">
        <v>99</v>
      </c>
      <c r="AL453">
        <v>1</v>
      </c>
      <c r="AM453" s="19">
        <v>198</v>
      </c>
      <c r="AN453">
        <v>1</v>
      </c>
      <c r="AO453" s="19">
        <v>213</v>
      </c>
      <c r="AP453">
        <v>1</v>
      </c>
      <c r="AQ453" s="19">
        <v>354</v>
      </c>
    </row>
    <row r="454" spans="1:43" x14ac:dyDescent="0.35">
      <c r="A454" s="18">
        <v>45742</v>
      </c>
      <c r="B454" t="s">
        <v>57</v>
      </c>
      <c r="C454" t="s">
        <v>53</v>
      </c>
      <c r="D454">
        <v>7</v>
      </c>
      <c r="E454">
        <v>2</v>
      </c>
      <c r="F454">
        <v>5</v>
      </c>
      <c r="G454" s="19">
        <v>3666</v>
      </c>
      <c r="H454" s="19">
        <v>2544</v>
      </c>
      <c r="I454" s="19">
        <v>1122</v>
      </c>
      <c r="J454" s="19">
        <v>239</v>
      </c>
      <c r="K454" s="19">
        <v>100</v>
      </c>
      <c r="L454" s="19">
        <v>806</v>
      </c>
      <c r="M454" s="19">
        <v>81</v>
      </c>
      <c r="N454" s="19">
        <v>57</v>
      </c>
      <c r="O454" s="19">
        <f t="shared" si="14"/>
        <v>1283</v>
      </c>
      <c r="P454" s="19">
        <f t="shared" si="15"/>
        <v>2383</v>
      </c>
      <c r="Q454" t="s">
        <v>23</v>
      </c>
      <c r="R454" t="s">
        <v>64</v>
      </c>
      <c r="T454">
        <v>1</v>
      </c>
      <c r="U454" s="19">
        <v>1646</v>
      </c>
      <c r="V454">
        <v>0</v>
      </c>
      <c r="W454" s="19">
        <v>0</v>
      </c>
      <c r="X454">
        <v>0</v>
      </c>
      <c r="Y454" s="19">
        <v>0</v>
      </c>
      <c r="Z454">
        <v>0</v>
      </c>
      <c r="AA454" s="19">
        <v>0</v>
      </c>
      <c r="AB454">
        <v>1</v>
      </c>
      <c r="AC454" s="19">
        <v>898</v>
      </c>
      <c r="AD454">
        <v>0</v>
      </c>
      <c r="AE454" s="19">
        <v>0</v>
      </c>
      <c r="AF454">
        <v>0</v>
      </c>
      <c r="AG454" s="19">
        <v>0</v>
      </c>
      <c r="AH454">
        <v>1</v>
      </c>
      <c r="AI454" s="19">
        <v>209</v>
      </c>
      <c r="AJ454">
        <v>1</v>
      </c>
      <c r="AK454" s="19">
        <v>105</v>
      </c>
      <c r="AL454">
        <v>1</v>
      </c>
      <c r="AM454" s="19">
        <v>209</v>
      </c>
      <c r="AN454">
        <v>1</v>
      </c>
      <c r="AO454" s="19">
        <v>224</v>
      </c>
      <c r="AP454">
        <v>1</v>
      </c>
      <c r="AQ454" s="19">
        <v>374</v>
      </c>
    </row>
    <row r="455" spans="1:43" x14ac:dyDescent="0.35">
      <c r="A455" s="18">
        <v>45743</v>
      </c>
      <c r="B455" t="s">
        <v>58</v>
      </c>
      <c r="C455" t="s">
        <v>53</v>
      </c>
      <c r="D455">
        <v>7</v>
      </c>
      <c r="E455">
        <v>2</v>
      </c>
      <c r="F455">
        <v>5</v>
      </c>
      <c r="G455" s="19">
        <v>3859</v>
      </c>
      <c r="H455" s="19">
        <v>2678</v>
      </c>
      <c r="I455" s="19">
        <v>1181</v>
      </c>
      <c r="J455" s="19">
        <v>239</v>
      </c>
      <c r="K455" s="19">
        <v>100</v>
      </c>
      <c r="L455" s="19">
        <v>806</v>
      </c>
      <c r="M455" s="19">
        <v>85</v>
      </c>
      <c r="N455" s="19">
        <v>57</v>
      </c>
      <c r="O455" s="19">
        <f t="shared" si="14"/>
        <v>1287</v>
      </c>
      <c r="P455" s="19">
        <f t="shared" si="15"/>
        <v>2572</v>
      </c>
      <c r="Q455" t="s">
        <v>23</v>
      </c>
      <c r="R455" t="s">
        <v>64</v>
      </c>
      <c r="T455">
        <v>1</v>
      </c>
      <c r="U455" s="19">
        <v>1733</v>
      </c>
      <c r="V455">
        <v>0</v>
      </c>
      <c r="W455" s="19">
        <v>0</v>
      </c>
      <c r="X455">
        <v>0</v>
      </c>
      <c r="Y455" s="19">
        <v>0</v>
      </c>
      <c r="Z455">
        <v>0</v>
      </c>
      <c r="AA455" s="19">
        <v>0</v>
      </c>
      <c r="AB455">
        <v>1</v>
      </c>
      <c r="AC455" s="19">
        <v>945</v>
      </c>
      <c r="AD455">
        <v>0</v>
      </c>
      <c r="AE455" s="19">
        <v>0</v>
      </c>
      <c r="AF455">
        <v>0</v>
      </c>
      <c r="AG455" s="19">
        <v>0</v>
      </c>
      <c r="AH455">
        <v>1</v>
      </c>
      <c r="AI455" s="19">
        <v>221</v>
      </c>
      <c r="AJ455">
        <v>1</v>
      </c>
      <c r="AK455" s="19">
        <v>110</v>
      </c>
      <c r="AL455">
        <v>1</v>
      </c>
      <c r="AM455" s="19">
        <v>221</v>
      </c>
      <c r="AN455">
        <v>1</v>
      </c>
      <c r="AO455" s="19">
        <v>236</v>
      </c>
      <c r="AP455">
        <v>1</v>
      </c>
      <c r="AQ455" s="19">
        <v>394</v>
      </c>
    </row>
    <row r="456" spans="1:43" x14ac:dyDescent="0.35">
      <c r="A456" s="18">
        <v>45744</v>
      </c>
      <c r="B456" t="s">
        <v>59</v>
      </c>
      <c r="C456" t="s">
        <v>53</v>
      </c>
      <c r="D456">
        <v>8</v>
      </c>
      <c r="E456">
        <v>3</v>
      </c>
      <c r="F456">
        <v>5</v>
      </c>
      <c r="G456" s="19">
        <v>4052</v>
      </c>
      <c r="H456" s="19">
        <v>2879</v>
      </c>
      <c r="I456" s="19">
        <v>1173</v>
      </c>
      <c r="J456" s="19">
        <v>239</v>
      </c>
      <c r="K456" s="19">
        <v>100</v>
      </c>
      <c r="L456" s="19">
        <v>806</v>
      </c>
      <c r="M456" s="19">
        <v>89</v>
      </c>
      <c r="N456" s="19">
        <v>65</v>
      </c>
      <c r="O456" s="19">
        <f t="shared" si="14"/>
        <v>1299</v>
      </c>
      <c r="P456" s="19">
        <f t="shared" si="15"/>
        <v>2753</v>
      </c>
      <c r="Q456" t="s">
        <v>23</v>
      </c>
      <c r="R456" t="s">
        <v>64</v>
      </c>
      <c r="T456">
        <v>1</v>
      </c>
      <c r="U456" s="19">
        <v>1721</v>
      </c>
      <c r="V456">
        <v>0</v>
      </c>
      <c r="W456" s="19">
        <v>0</v>
      </c>
      <c r="X456">
        <v>0</v>
      </c>
      <c r="Y456" s="19">
        <v>0</v>
      </c>
      <c r="Z456">
        <v>0</v>
      </c>
      <c r="AA456" s="19">
        <v>0</v>
      </c>
      <c r="AB456">
        <v>1</v>
      </c>
      <c r="AC456" s="19">
        <v>939</v>
      </c>
      <c r="AD456">
        <v>0</v>
      </c>
      <c r="AE456" s="19">
        <v>0</v>
      </c>
      <c r="AF456">
        <v>0</v>
      </c>
      <c r="AG456" s="19">
        <v>0</v>
      </c>
      <c r="AH456">
        <v>2</v>
      </c>
      <c r="AI456" s="19">
        <v>438</v>
      </c>
      <c r="AJ456">
        <v>1</v>
      </c>
      <c r="AK456" s="19">
        <v>110</v>
      </c>
      <c r="AL456">
        <v>1</v>
      </c>
      <c r="AM456" s="19">
        <v>219</v>
      </c>
      <c r="AN456">
        <v>1</v>
      </c>
      <c r="AO456" s="19">
        <v>235</v>
      </c>
      <c r="AP456">
        <v>1</v>
      </c>
      <c r="AQ456" s="19">
        <v>391</v>
      </c>
    </row>
    <row r="457" spans="1:43" x14ac:dyDescent="0.35">
      <c r="A457" s="18">
        <v>45745</v>
      </c>
      <c r="B457" t="s">
        <v>60</v>
      </c>
      <c r="C457" t="s">
        <v>61</v>
      </c>
      <c r="D457">
        <v>10</v>
      </c>
      <c r="E457">
        <v>4</v>
      </c>
      <c r="F457">
        <v>6</v>
      </c>
      <c r="G457" s="19">
        <v>5017</v>
      </c>
      <c r="H457" s="19">
        <v>3017</v>
      </c>
      <c r="I457" s="19">
        <v>2000</v>
      </c>
      <c r="J457" s="19">
        <v>239</v>
      </c>
      <c r="K457" s="19">
        <v>100</v>
      </c>
      <c r="L457" s="19">
        <v>806</v>
      </c>
      <c r="M457" s="19">
        <v>111</v>
      </c>
      <c r="N457" s="19">
        <v>81</v>
      </c>
      <c r="O457" s="19">
        <f t="shared" si="14"/>
        <v>1337</v>
      </c>
      <c r="P457" s="19">
        <f t="shared" si="15"/>
        <v>3680</v>
      </c>
      <c r="Q457" t="s">
        <v>23</v>
      </c>
      <c r="R457" t="s">
        <v>64</v>
      </c>
      <c r="T457">
        <v>1</v>
      </c>
      <c r="U457" s="19">
        <v>1257</v>
      </c>
      <c r="V457">
        <v>0</v>
      </c>
      <c r="W457" s="19">
        <v>0</v>
      </c>
      <c r="X457">
        <v>0</v>
      </c>
      <c r="Y457" s="19">
        <v>0</v>
      </c>
      <c r="Z457">
        <v>1</v>
      </c>
      <c r="AA457" s="19">
        <v>914</v>
      </c>
      <c r="AB457">
        <v>1</v>
      </c>
      <c r="AC457" s="19">
        <v>686</v>
      </c>
      <c r="AD457">
        <v>1</v>
      </c>
      <c r="AE457" s="19">
        <v>1143</v>
      </c>
      <c r="AF457">
        <v>0</v>
      </c>
      <c r="AG457" s="19">
        <v>0</v>
      </c>
      <c r="AH457">
        <v>2</v>
      </c>
      <c r="AI457" s="19">
        <v>320</v>
      </c>
      <c r="AJ457">
        <v>1</v>
      </c>
      <c r="AK457" s="19">
        <v>80</v>
      </c>
      <c r="AL457">
        <v>1</v>
      </c>
      <c r="AM457" s="19">
        <v>160</v>
      </c>
      <c r="AN457">
        <v>1</v>
      </c>
      <c r="AO457" s="19">
        <v>171</v>
      </c>
      <c r="AP457">
        <v>1</v>
      </c>
      <c r="AQ457" s="19">
        <v>286</v>
      </c>
    </row>
    <row r="458" spans="1:43" x14ac:dyDescent="0.35">
      <c r="A458" s="18">
        <v>45746</v>
      </c>
      <c r="B458" t="s">
        <v>62</v>
      </c>
      <c r="C458" t="s">
        <v>61</v>
      </c>
      <c r="D458">
        <v>9</v>
      </c>
      <c r="E458">
        <v>4</v>
      </c>
      <c r="F458">
        <v>5</v>
      </c>
      <c r="G458" s="19">
        <v>4631</v>
      </c>
      <c r="H458" s="19">
        <v>3585</v>
      </c>
      <c r="I458" s="19">
        <v>1046</v>
      </c>
      <c r="J458" s="19">
        <v>239</v>
      </c>
      <c r="K458" s="19">
        <v>100</v>
      </c>
      <c r="L458" s="19">
        <v>806</v>
      </c>
      <c r="M458" s="19">
        <v>102</v>
      </c>
      <c r="N458" s="19">
        <v>73</v>
      </c>
      <c r="O458" s="19">
        <f t="shared" si="14"/>
        <v>1320</v>
      </c>
      <c r="P458" s="19">
        <f t="shared" si="15"/>
        <v>3311</v>
      </c>
      <c r="Q458" t="s">
        <v>23</v>
      </c>
      <c r="R458" t="s">
        <v>64</v>
      </c>
      <c r="T458">
        <v>1</v>
      </c>
      <c r="U458" s="19">
        <v>1534</v>
      </c>
      <c r="V458">
        <v>0</v>
      </c>
      <c r="W458" s="19">
        <v>0</v>
      </c>
      <c r="X458">
        <v>0</v>
      </c>
      <c r="Y458" s="19">
        <v>0</v>
      </c>
      <c r="Z458">
        <v>1</v>
      </c>
      <c r="AA458" s="19">
        <v>1116</v>
      </c>
      <c r="AB458">
        <v>1</v>
      </c>
      <c r="AC458" s="19">
        <v>837</v>
      </c>
      <c r="AD458">
        <v>0</v>
      </c>
      <c r="AE458" s="19">
        <v>0</v>
      </c>
      <c r="AF458">
        <v>0</v>
      </c>
      <c r="AG458" s="19">
        <v>0</v>
      </c>
      <c r="AH458">
        <v>1</v>
      </c>
      <c r="AI458" s="19">
        <v>195</v>
      </c>
      <c r="AJ458">
        <v>2</v>
      </c>
      <c r="AK458" s="19">
        <v>195</v>
      </c>
      <c r="AL458">
        <v>1</v>
      </c>
      <c r="AM458" s="19">
        <v>195</v>
      </c>
      <c r="AN458">
        <v>1</v>
      </c>
      <c r="AO458" s="19">
        <v>209</v>
      </c>
      <c r="AP458">
        <v>1</v>
      </c>
      <c r="AQ458" s="19">
        <v>349</v>
      </c>
    </row>
    <row r="459" spans="1:43" x14ac:dyDescent="0.35">
      <c r="A459" s="18">
        <v>45747</v>
      </c>
      <c r="B459" t="s">
        <v>52</v>
      </c>
      <c r="C459" t="s">
        <v>53</v>
      </c>
      <c r="D459">
        <v>3</v>
      </c>
      <c r="E459">
        <v>0</v>
      </c>
      <c r="F459">
        <v>3</v>
      </c>
      <c r="G459" s="19">
        <v>3280</v>
      </c>
      <c r="H459" s="19">
        <v>0</v>
      </c>
      <c r="I459" s="19">
        <v>3280</v>
      </c>
      <c r="J459" s="19">
        <v>239</v>
      </c>
      <c r="K459" s="19">
        <v>100</v>
      </c>
      <c r="L459" s="19">
        <v>806</v>
      </c>
      <c r="M459" s="19">
        <v>72</v>
      </c>
      <c r="N459" s="19">
        <v>24</v>
      </c>
      <c r="O459" s="19">
        <f t="shared" si="14"/>
        <v>1241</v>
      </c>
      <c r="P459" s="19">
        <f t="shared" si="15"/>
        <v>2039</v>
      </c>
      <c r="Q459" t="s">
        <v>30</v>
      </c>
      <c r="R459" t="s">
        <v>64</v>
      </c>
      <c r="T459">
        <v>0</v>
      </c>
      <c r="U459" s="19">
        <v>0</v>
      </c>
      <c r="V459">
        <v>0</v>
      </c>
      <c r="W459" s="19">
        <v>0</v>
      </c>
      <c r="X459">
        <v>0</v>
      </c>
      <c r="Y459" s="19">
        <v>0</v>
      </c>
      <c r="Z459">
        <v>0</v>
      </c>
      <c r="AA459" s="19">
        <v>0</v>
      </c>
      <c r="AB459">
        <v>0</v>
      </c>
      <c r="AC459" s="19">
        <v>0</v>
      </c>
      <c r="AD459">
        <v>0</v>
      </c>
      <c r="AE459" s="19">
        <v>0</v>
      </c>
      <c r="AF459">
        <v>0</v>
      </c>
      <c r="AG459" s="19">
        <v>0</v>
      </c>
      <c r="AH459">
        <v>1</v>
      </c>
      <c r="AI459" s="19">
        <v>1312</v>
      </c>
      <c r="AJ459">
        <v>1</v>
      </c>
      <c r="AK459" s="19">
        <v>656</v>
      </c>
      <c r="AL459">
        <v>1</v>
      </c>
      <c r="AM459" s="19">
        <v>1312</v>
      </c>
      <c r="AN459">
        <v>0</v>
      </c>
      <c r="AO459" s="19">
        <v>0</v>
      </c>
      <c r="AP459">
        <v>0</v>
      </c>
      <c r="AQ459" s="19">
        <v>0</v>
      </c>
    </row>
    <row r="460" spans="1:43" x14ac:dyDescent="0.35">
      <c r="A460" s="18">
        <v>45748</v>
      </c>
      <c r="B460" t="s">
        <v>56</v>
      </c>
      <c r="C460" t="s">
        <v>53</v>
      </c>
      <c r="D460">
        <v>6</v>
      </c>
      <c r="E460">
        <v>2</v>
      </c>
      <c r="F460">
        <v>4</v>
      </c>
      <c r="G460" s="19">
        <v>3194</v>
      </c>
      <c r="H460" s="19">
        <v>2468</v>
      </c>
      <c r="I460" s="19">
        <v>726</v>
      </c>
      <c r="J460" s="19">
        <v>253</v>
      </c>
      <c r="K460" s="19">
        <v>107</v>
      </c>
      <c r="L460" s="19">
        <v>833</v>
      </c>
      <c r="M460" s="19">
        <v>70</v>
      </c>
      <c r="N460" s="19">
        <v>49</v>
      </c>
      <c r="O460" s="19">
        <f t="shared" si="14"/>
        <v>1312</v>
      </c>
      <c r="P460" s="19">
        <f t="shared" si="15"/>
        <v>1882</v>
      </c>
      <c r="Q460" t="s">
        <v>23</v>
      </c>
      <c r="R460" t="s">
        <v>64</v>
      </c>
      <c r="T460">
        <v>1</v>
      </c>
      <c r="U460" s="19">
        <v>1597</v>
      </c>
      <c r="V460">
        <v>0</v>
      </c>
      <c r="W460" s="19">
        <v>0</v>
      </c>
      <c r="X460">
        <v>0</v>
      </c>
      <c r="Y460" s="19">
        <v>0</v>
      </c>
      <c r="Z460">
        <v>0</v>
      </c>
      <c r="AA460" s="19">
        <v>0</v>
      </c>
      <c r="AB460">
        <v>1</v>
      </c>
      <c r="AC460" s="19">
        <v>871</v>
      </c>
      <c r="AD460">
        <v>0</v>
      </c>
      <c r="AE460" s="19">
        <v>0</v>
      </c>
      <c r="AF460">
        <v>0</v>
      </c>
      <c r="AG460" s="19">
        <v>0</v>
      </c>
      <c r="AH460">
        <v>1</v>
      </c>
      <c r="AI460" s="19">
        <v>203</v>
      </c>
      <c r="AJ460">
        <v>1</v>
      </c>
      <c r="AK460" s="19">
        <v>102</v>
      </c>
      <c r="AL460">
        <v>1</v>
      </c>
      <c r="AM460" s="19">
        <v>203</v>
      </c>
      <c r="AN460">
        <v>1</v>
      </c>
      <c r="AO460" s="19">
        <v>218</v>
      </c>
      <c r="AP460">
        <v>0</v>
      </c>
      <c r="AQ460" s="19">
        <v>0</v>
      </c>
    </row>
    <row r="461" spans="1:43" x14ac:dyDescent="0.35">
      <c r="A461" s="18">
        <v>45749</v>
      </c>
      <c r="B461" t="s">
        <v>57</v>
      </c>
      <c r="C461" t="s">
        <v>53</v>
      </c>
      <c r="D461">
        <v>6</v>
      </c>
      <c r="E461">
        <v>2</v>
      </c>
      <c r="F461">
        <v>4</v>
      </c>
      <c r="G461" s="19">
        <v>3371</v>
      </c>
      <c r="H461" s="19">
        <v>2605</v>
      </c>
      <c r="I461" s="19">
        <v>766</v>
      </c>
      <c r="J461" s="19">
        <v>253</v>
      </c>
      <c r="K461" s="19">
        <v>107</v>
      </c>
      <c r="L461" s="19">
        <v>833</v>
      </c>
      <c r="M461" s="19">
        <v>74</v>
      </c>
      <c r="N461" s="19">
        <v>49</v>
      </c>
      <c r="O461" s="19">
        <f t="shared" si="14"/>
        <v>1316</v>
      </c>
      <c r="P461" s="19">
        <f t="shared" si="15"/>
        <v>2055</v>
      </c>
      <c r="Q461" t="s">
        <v>23</v>
      </c>
      <c r="R461" t="s">
        <v>64</v>
      </c>
      <c r="T461">
        <v>1</v>
      </c>
      <c r="U461" s="19">
        <v>1686</v>
      </c>
      <c r="V461">
        <v>0</v>
      </c>
      <c r="W461" s="19">
        <v>0</v>
      </c>
      <c r="X461">
        <v>0</v>
      </c>
      <c r="Y461" s="19">
        <v>0</v>
      </c>
      <c r="Z461">
        <v>0</v>
      </c>
      <c r="AA461" s="19">
        <v>0</v>
      </c>
      <c r="AB461">
        <v>1</v>
      </c>
      <c r="AC461" s="19">
        <v>919</v>
      </c>
      <c r="AD461">
        <v>0</v>
      </c>
      <c r="AE461" s="19">
        <v>0</v>
      </c>
      <c r="AF461">
        <v>0</v>
      </c>
      <c r="AG461" s="19">
        <v>0</v>
      </c>
      <c r="AH461">
        <v>1</v>
      </c>
      <c r="AI461" s="19">
        <v>215</v>
      </c>
      <c r="AJ461">
        <v>1</v>
      </c>
      <c r="AK461" s="19">
        <v>107</v>
      </c>
      <c r="AL461">
        <v>1</v>
      </c>
      <c r="AM461" s="19">
        <v>215</v>
      </c>
      <c r="AN461">
        <v>1</v>
      </c>
      <c r="AO461" s="19">
        <v>230</v>
      </c>
      <c r="AP461">
        <v>0</v>
      </c>
      <c r="AQ461" s="19">
        <v>0</v>
      </c>
    </row>
    <row r="462" spans="1:43" x14ac:dyDescent="0.35">
      <c r="A462" s="18">
        <v>45750</v>
      </c>
      <c r="B462" t="s">
        <v>58</v>
      </c>
      <c r="C462" t="s">
        <v>53</v>
      </c>
      <c r="D462">
        <v>7</v>
      </c>
      <c r="E462">
        <v>2</v>
      </c>
      <c r="F462">
        <v>5</v>
      </c>
      <c r="G462" s="19">
        <v>3549</v>
      </c>
      <c r="H462" s="19">
        <v>2463</v>
      </c>
      <c r="I462" s="19">
        <v>1086</v>
      </c>
      <c r="J462" s="19">
        <v>253</v>
      </c>
      <c r="K462" s="19">
        <v>107</v>
      </c>
      <c r="L462" s="19">
        <v>833</v>
      </c>
      <c r="M462" s="19">
        <v>78</v>
      </c>
      <c r="N462" s="19">
        <v>57</v>
      </c>
      <c r="O462" s="19">
        <f t="shared" si="14"/>
        <v>1328</v>
      </c>
      <c r="P462" s="19">
        <f t="shared" si="15"/>
        <v>2221</v>
      </c>
      <c r="Q462" t="s">
        <v>23</v>
      </c>
      <c r="R462" t="s">
        <v>64</v>
      </c>
      <c r="T462">
        <v>1</v>
      </c>
      <c r="U462" s="19">
        <v>1593</v>
      </c>
      <c r="V462">
        <v>0</v>
      </c>
      <c r="W462" s="19">
        <v>0</v>
      </c>
      <c r="X462">
        <v>0</v>
      </c>
      <c r="Y462" s="19">
        <v>0</v>
      </c>
      <c r="Z462">
        <v>0</v>
      </c>
      <c r="AA462" s="19">
        <v>0</v>
      </c>
      <c r="AB462">
        <v>1</v>
      </c>
      <c r="AC462" s="19">
        <v>869</v>
      </c>
      <c r="AD462">
        <v>0</v>
      </c>
      <c r="AE462" s="19">
        <v>0</v>
      </c>
      <c r="AF462">
        <v>0</v>
      </c>
      <c r="AG462" s="19">
        <v>0</v>
      </c>
      <c r="AH462">
        <v>1</v>
      </c>
      <c r="AI462" s="19">
        <v>203</v>
      </c>
      <c r="AJ462">
        <v>1</v>
      </c>
      <c r="AK462" s="19">
        <v>101</v>
      </c>
      <c r="AL462">
        <v>1</v>
      </c>
      <c r="AM462" s="19">
        <v>203</v>
      </c>
      <c r="AN462">
        <v>1</v>
      </c>
      <c r="AO462" s="19">
        <v>217</v>
      </c>
      <c r="AP462">
        <v>1</v>
      </c>
      <c r="AQ462" s="19">
        <v>362</v>
      </c>
    </row>
    <row r="463" spans="1:43" x14ac:dyDescent="0.35">
      <c r="A463" s="18">
        <v>45751</v>
      </c>
      <c r="B463" t="s">
        <v>59</v>
      </c>
      <c r="C463" t="s">
        <v>53</v>
      </c>
      <c r="D463">
        <v>7</v>
      </c>
      <c r="E463">
        <v>3</v>
      </c>
      <c r="F463">
        <v>4</v>
      </c>
      <c r="G463" s="19">
        <v>3726</v>
      </c>
      <c r="H463" s="19">
        <v>3105</v>
      </c>
      <c r="I463" s="19">
        <v>621</v>
      </c>
      <c r="J463" s="19">
        <v>253</v>
      </c>
      <c r="K463" s="19">
        <v>107</v>
      </c>
      <c r="L463" s="19">
        <v>833</v>
      </c>
      <c r="M463" s="19">
        <v>82</v>
      </c>
      <c r="N463" s="19">
        <v>57</v>
      </c>
      <c r="O463" s="19">
        <f t="shared" si="14"/>
        <v>1332</v>
      </c>
      <c r="P463" s="19">
        <f t="shared" si="15"/>
        <v>2394</v>
      </c>
      <c r="Q463" t="s">
        <v>23</v>
      </c>
      <c r="R463" t="s">
        <v>64</v>
      </c>
      <c r="T463">
        <v>1</v>
      </c>
      <c r="U463" s="19">
        <v>1366</v>
      </c>
      <c r="V463">
        <v>0</v>
      </c>
      <c r="W463" s="19">
        <v>0</v>
      </c>
      <c r="X463">
        <v>0</v>
      </c>
      <c r="Y463" s="19">
        <v>0</v>
      </c>
      <c r="Z463">
        <v>1</v>
      </c>
      <c r="AA463" s="19">
        <v>994</v>
      </c>
      <c r="AB463">
        <v>1</v>
      </c>
      <c r="AC463" s="19">
        <v>745</v>
      </c>
      <c r="AD463">
        <v>0</v>
      </c>
      <c r="AE463" s="19">
        <v>0</v>
      </c>
      <c r="AF463">
        <v>0</v>
      </c>
      <c r="AG463" s="19">
        <v>0</v>
      </c>
      <c r="AH463">
        <v>1</v>
      </c>
      <c r="AI463" s="19">
        <v>174</v>
      </c>
      <c r="AJ463">
        <v>1</v>
      </c>
      <c r="AK463" s="19">
        <v>87</v>
      </c>
      <c r="AL463">
        <v>1</v>
      </c>
      <c r="AM463" s="19">
        <v>174</v>
      </c>
      <c r="AN463">
        <v>1</v>
      </c>
      <c r="AO463" s="19">
        <v>186</v>
      </c>
      <c r="AP463">
        <v>0</v>
      </c>
      <c r="AQ463" s="19">
        <v>0</v>
      </c>
    </row>
    <row r="464" spans="1:43" x14ac:dyDescent="0.35">
      <c r="A464" s="18">
        <v>45752</v>
      </c>
      <c r="B464" t="s">
        <v>60</v>
      </c>
      <c r="C464" t="s">
        <v>61</v>
      </c>
      <c r="D464">
        <v>9</v>
      </c>
      <c r="E464">
        <v>3</v>
      </c>
      <c r="F464">
        <v>6</v>
      </c>
      <c r="G464" s="19">
        <v>4613</v>
      </c>
      <c r="H464" s="19">
        <v>2714</v>
      </c>
      <c r="I464" s="19">
        <v>1899</v>
      </c>
      <c r="J464" s="19">
        <v>253</v>
      </c>
      <c r="K464" s="19">
        <v>107</v>
      </c>
      <c r="L464" s="19">
        <v>833</v>
      </c>
      <c r="M464" s="19">
        <v>102</v>
      </c>
      <c r="N464" s="19">
        <v>73</v>
      </c>
      <c r="O464" s="19">
        <f t="shared" si="14"/>
        <v>1368</v>
      </c>
      <c r="P464" s="19">
        <f t="shared" si="15"/>
        <v>3245</v>
      </c>
      <c r="Q464" t="s">
        <v>23</v>
      </c>
      <c r="R464" t="s">
        <v>64</v>
      </c>
      <c r="T464">
        <v>1</v>
      </c>
      <c r="U464" s="19">
        <v>1194</v>
      </c>
      <c r="V464">
        <v>0</v>
      </c>
      <c r="W464" s="19">
        <v>0</v>
      </c>
      <c r="X464">
        <v>0</v>
      </c>
      <c r="Y464" s="19">
        <v>0</v>
      </c>
      <c r="Z464">
        <v>1</v>
      </c>
      <c r="AA464" s="19">
        <v>868</v>
      </c>
      <c r="AB464">
        <v>1</v>
      </c>
      <c r="AC464" s="19">
        <v>651</v>
      </c>
      <c r="AD464">
        <v>1</v>
      </c>
      <c r="AE464" s="19">
        <v>1085</v>
      </c>
      <c r="AF464">
        <v>0</v>
      </c>
      <c r="AG464" s="19">
        <v>0</v>
      </c>
      <c r="AH464">
        <v>1</v>
      </c>
      <c r="AI464" s="19">
        <v>152</v>
      </c>
      <c r="AJ464">
        <v>1</v>
      </c>
      <c r="AK464" s="19">
        <v>76</v>
      </c>
      <c r="AL464">
        <v>1</v>
      </c>
      <c r="AM464" s="19">
        <v>152</v>
      </c>
      <c r="AN464">
        <v>1</v>
      </c>
      <c r="AO464" s="19">
        <v>163</v>
      </c>
      <c r="AP464">
        <v>1</v>
      </c>
      <c r="AQ464" s="19">
        <v>271</v>
      </c>
    </row>
    <row r="465" spans="1:43" x14ac:dyDescent="0.35">
      <c r="A465" s="18">
        <v>45753</v>
      </c>
      <c r="B465" t="s">
        <v>62</v>
      </c>
      <c r="C465" t="s">
        <v>61</v>
      </c>
      <c r="D465">
        <v>8</v>
      </c>
      <c r="E465">
        <v>3</v>
      </c>
      <c r="F465">
        <v>5</v>
      </c>
      <c r="G465" s="19">
        <v>4259</v>
      </c>
      <c r="H465" s="19">
        <v>3026</v>
      </c>
      <c r="I465" s="19">
        <v>1233</v>
      </c>
      <c r="J465" s="19">
        <v>253</v>
      </c>
      <c r="K465" s="19">
        <v>107</v>
      </c>
      <c r="L465" s="19">
        <v>833</v>
      </c>
      <c r="M465" s="19">
        <v>94</v>
      </c>
      <c r="N465" s="19">
        <v>65</v>
      </c>
      <c r="O465" s="19">
        <f t="shared" si="14"/>
        <v>1352</v>
      </c>
      <c r="P465" s="19">
        <f t="shared" si="15"/>
        <v>2907</v>
      </c>
      <c r="Q465" t="s">
        <v>23</v>
      </c>
      <c r="R465" t="s">
        <v>64</v>
      </c>
      <c r="T465">
        <v>1</v>
      </c>
      <c r="U465" s="19">
        <v>1809</v>
      </c>
      <c r="V465">
        <v>0</v>
      </c>
      <c r="W465" s="19">
        <v>0</v>
      </c>
      <c r="X465">
        <v>0</v>
      </c>
      <c r="Y465" s="19">
        <v>0</v>
      </c>
      <c r="Z465">
        <v>0</v>
      </c>
      <c r="AA465" s="19">
        <v>0</v>
      </c>
      <c r="AB465">
        <v>1</v>
      </c>
      <c r="AC465" s="19">
        <v>987</v>
      </c>
      <c r="AD465">
        <v>0</v>
      </c>
      <c r="AE465" s="19">
        <v>0</v>
      </c>
      <c r="AF465">
        <v>0</v>
      </c>
      <c r="AG465" s="19">
        <v>0</v>
      </c>
      <c r="AH465">
        <v>2</v>
      </c>
      <c r="AI465" s="19">
        <v>460</v>
      </c>
      <c r="AJ465">
        <v>1</v>
      </c>
      <c r="AK465" s="19">
        <v>115</v>
      </c>
      <c r="AL465">
        <v>1</v>
      </c>
      <c r="AM465" s="19">
        <v>230</v>
      </c>
      <c r="AN465">
        <v>1</v>
      </c>
      <c r="AO465" s="19">
        <v>247</v>
      </c>
      <c r="AP465">
        <v>1</v>
      </c>
      <c r="AQ465" s="19">
        <v>411</v>
      </c>
    </row>
    <row r="466" spans="1:43" x14ac:dyDescent="0.35">
      <c r="A466" s="18">
        <v>45754</v>
      </c>
      <c r="B466" t="s">
        <v>52</v>
      </c>
      <c r="C466" t="s">
        <v>53</v>
      </c>
      <c r="D466">
        <v>6</v>
      </c>
      <c r="E466">
        <v>2</v>
      </c>
      <c r="F466">
        <v>4</v>
      </c>
      <c r="G466" s="19">
        <v>3016</v>
      </c>
      <c r="H466" s="19">
        <v>2331</v>
      </c>
      <c r="I466" s="19">
        <v>685</v>
      </c>
      <c r="J466" s="19">
        <v>253</v>
      </c>
      <c r="K466" s="19">
        <v>107</v>
      </c>
      <c r="L466" s="19">
        <v>833</v>
      </c>
      <c r="M466" s="19">
        <v>67</v>
      </c>
      <c r="N466" s="19">
        <v>49</v>
      </c>
      <c r="O466" s="19">
        <f t="shared" si="14"/>
        <v>1309</v>
      </c>
      <c r="P466" s="19">
        <f t="shared" si="15"/>
        <v>1707</v>
      </c>
      <c r="Q466" t="s">
        <v>23</v>
      </c>
      <c r="R466" t="s">
        <v>64</v>
      </c>
      <c r="T466">
        <v>1</v>
      </c>
      <c r="U466" s="19">
        <v>1508</v>
      </c>
      <c r="V466">
        <v>0</v>
      </c>
      <c r="W466" s="19">
        <v>0</v>
      </c>
      <c r="X466">
        <v>0</v>
      </c>
      <c r="Y466" s="19">
        <v>0</v>
      </c>
      <c r="Z466">
        <v>0</v>
      </c>
      <c r="AA466" s="19">
        <v>0</v>
      </c>
      <c r="AB466">
        <v>1</v>
      </c>
      <c r="AC466" s="19">
        <v>823</v>
      </c>
      <c r="AD466">
        <v>0</v>
      </c>
      <c r="AE466" s="19">
        <v>0</v>
      </c>
      <c r="AF466">
        <v>0</v>
      </c>
      <c r="AG466" s="19">
        <v>0</v>
      </c>
      <c r="AH466">
        <v>1</v>
      </c>
      <c r="AI466" s="19">
        <v>192</v>
      </c>
      <c r="AJ466">
        <v>1</v>
      </c>
      <c r="AK466" s="19">
        <v>96</v>
      </c>
      <c r="AL466">
        <v>1</v>
      </c>
      <c r="AM466" s="19">
        <v>192</v>
      </c>
      <c r="AN466">
        <v>1</v>
      </c>
      <c r="AO466" s="19">
        <v>206</v>
      </c>
      <c r="AP466">
        <v>0</v>
      </c>
      <c r="AQ466" s="19">
        <v>0</v>
      </c>
    </row>
    <row r="467" spans="1:43" x14ac:dyDescent="0.35">
      <c r="A467" s="18">
        <v>45755</v>
      </c>
      <c r="B467" t="s">
        <v>56</v>
      </c>
      <c r="C467" t="s">
        <v>53</v>
      </c>
      <c r="D467">
        <v>6</v>
      </c>
      <c r="E467">
        <v>2</v>
      </c>
      <c r="F467">
        <v>4</v>
      </c>
      <c r="G467" s="19">
        <v>3194</v>
      </c>
      <c r="H467" s="19">
        <v>2468</v>
      </c>
      <c r="I467" s="19">
        <v>726</v>
      </c>
      <c r="J467" s="19">
        <v>253</v>
      </c>
      <c r="K467" s="19">
        <v>107</v>
      </c>
      <c r="L467" s="19">
        <v>833</v>
      </c>
      <c r="M467" s="19">
        <v>70</v>
      </c>
      <c r="N467" s="19">
        <v>49</v>
      </c>
      <c r="O467" s="19">
        <f t="shared" si="14"/>
        <v>1312</v>
      </c>
      <c r="P467" s="19">
        <f t="shared" si="15"/>
        <v>1882</v>
      </c>
      <c r="Q467" t="s">
        <v>23</v>
      </c>
      <c r="R467" t="s">
        <v>64</v>
      </c>
      <c r="T467">
        <v>1</v>
      </c>
      <c r="U467" s="19">
        <v>1597</v>
      </c>
      <c r="V467">
        <v>0</v>
      </c>
      <c r="W467" s="19">
        <v>0</v>
      </c>
      <c r="X467">
        <v>0</v>
      </c>
      <c r="Y467" s="19">
        <v>0</v>
      </c>
      <c r="Z467">
        <v>0</v>
      </c>
      <c r="AA467" s="19">
        <v>0</v>
      </c>
      <c r="AB467">
        <v>1</v>
      </c>
      <c r="AC467" s="19">
        <v>871</v>
      </c>
      <c r="AD467">
        <v>0</v>
      </c>
      <c r="AE467" s="19">
        <v>0</v>
      </c>
      <c r="AF467">
        <v>0</v>
      </c>
      <c r="AG467" s="19">
        <v>0</v>
      </c>
      <c r="AH467">
        <v>1</v>
      </c>
      <c r="AI467" s="19">
        <v>203</v>
      </c>
      <c r="AJ467">
        <v>1</v>
      </c>
      <c r="AK467" s="19">
        <v>102</v>
      </c>
      <c r="AL467">
        <v>1</v>
      </c>
      <c r="AM467" s="19">
        <v>203</v>
      </c>
      <c r="AN467">
        <v>1</v>
      </c>
      <c r="AO467" s="19">
        <v>218</v>
      </c>
      <c r="AP467">
        <v>0</v>
      </c>
      <c r="AQ467" s="19">
        <v>0</v>
      </c>
    </row>
    <row r="468" spans="1:43" x14ac:dyDescent="0.35">
      <c r="A468" s="18">
        <v>45756</v>
      </c>
      <c r="B468" t="s">
        <v>57</v>
      </c>
      <c r="C468" t="s">
        <v>53</v>
      </c>
      <c r="D468">
        <v>6</v>
      </c>
      <c r="E468">
        <v>2</v>
      </c>
      <c r="F468">
        <v>4</v>
      </c>
      <c r="G468" s="19">
        <v>3371</v>
      </c>
      <c r="H468" s="19">
        <v>2605</v>
      </c>
      <c r="I468" s="19">
        <v>766</v>
      </c>
      <c r="J468" s="19">
        <v>253</v>
      </c>
      <c r="K468" s="19">
        <v>107</v>
      </c>
      <c r="L468" s="19">
        <v>833</v>
      </c>
      <c r="M468" s="19">
        <v>74</v>
      </c>
      <c r="N468" s="19">
        <v>49</v>
      </c>
      <c r="O468" s="19">
        <f t="shared" si="14"/>
        <v>1316</v>
      </c>
      <c r="P468" s="19">
        <f t="shared" si="15"/>
        <v>2055</v>
      </c>
      <c r="Q468" t="s">
        <v>23</v>
      </c>
      <c r="R468" t="s">
        <v>64</v>
      </c>
      <c r="T468">
        <v>1</v>
      </c>
      <c r="U468" s="19">
        <v>1686</v>
      </c>
      <c r="V468">
        <v>0</v>
      </c>
      <c r="W468" s="19">
        <v>0</v>
      </c>
      <c r="X468">
        <v>0</v>
      </c>
      <c r="Y468" s="19">
        <v>0</v>
      </c>
      <c r="Z468">
        <v>0</v>
      </c>
      <c r="AA468" s="19">
        <v>0</v>
      </c>
      <c r="AB468">
        <v>1</v>
      </c>
      <c r="AC468" s="19">
        <v>919</v>
      </c>
      <c r="AD468">
        <v>0</v>
      </c>
      <c r="AE468" s="19">
        <v>0</v>
      </c>
      <c r="AF468">
        <v>0</v>
      </c>
      <c r="AG468" s="19">
        <v>0</v>
      </c>
      <c r="AH468">
        <v>1</v>
      </c>
      <c r="AI468" s="19">
        <v>215</v>
      </c>
      <c r="AJ468">
        <v>1</v>
      </c>
      <c r="AK468" s="19">
        <v>107</v>
      </c>
      <c r="AL468">
        <v>1</v>
      </c>
      <c r="AM468" s="19">
        <v>215</v>
      </c>
      <c r="AN468">
        <v>1</v>
      </c>
      <c r="AO468" s="19">
        <v>230</v>
      </c>
      <c r="AP468">
        <v>0</v>
      </c>
      <c r="AQ468" s="19">
        <v>0</v>
      </c>
    </row>
    <row r="469" spans="1:43" x14ac:dyDescent="0.35">
      <c r="A469" s="18">
        <v>45757</v>
      </c>
      <c r="B469" t="s">
        <v>58</v>
      </c>
      <c r="C469" t="s">
        <v>53</v>
      </c>
      <c r="D469">
        <v>7</v>
      </c>
      <c r="E469">
        <v>2</v>
      </c>
      <c r="F469">
        <v>5</v>
      </c>
      <c r="G469" s="19">
        <v>3549</v>
      </c>
      <c r="H469" s="19">
        <v>2463</v>
      </c>
      <c r="I469" s="19">
        <v>1086</v>
      </c>
      <c r="J469" s="19">
        <v>253</v>
      </c>
      <c r="K469" s="19">
        <v>107</v>
      </c>
      <c r="L469" s="19">
        <v>833</v>
      </c>
      <c r="M469" s="19">
        <v>78</v>
      </c>
      <c r="N469" s="19">
        <v>57</v>
      </c>
      <c r="O469" s="19">
        <f t="shared" si="14"/>
        <v>1328</v>
      </c>
      <c r="P469" s="19">
        <f t="shared" si="15"/>
        <v>2221</v>
      </c>
      <c r="Q469" t="s">
        <v>23</v>
      </c>
      <c r="R469" t="s">
        <v>64</v>
      </c>
      <c r="T469">
        <v>1</v>
      </c>
      <c r="U469" s="19">
        <v>1593</v>
      </c>
      <c r="V469">
        <v>0</v>
      </c>
      <c r="W469" s="19">
        <v>0</v>
      </c>
      <c r="X469">
        <v>0</v>
      </c>
      <c r="Y469" s="19">
        <v>0</v>
      </c>
      <c r="Z469">
        <v>0</v>
      </c>
      <c r="AA469" s="19">
        <v>0</v>
      </c>
      <c r="AB469">
        <v>1</v>
      </c>
      <c r="AC469" s="19">
        <v>869</v>
      </c>
      <c r="AD469">
        <v>0</v>
      </c>
      <c r="AE469" s="19">
        <v>0</v>
      </c>
      <c r="AF469">
        <v>0</v>
      </c>
      <c r="AG469" s="19">
        <v>0</v>
      </c>
      <c r="AH469">
        <v>1</v>
      </c>
      <c r="AI469" s="19">
        <v>203</v>
      </c>
      <c r="AJ469">
        <v>1</v>
      </c>
      <c r="AK469" s="19">
        <v>101</v>
      </c>
      <c r="AL469">
        <v>1</v>
      </c>
      <c r="AM469" s="19">
        <v>203</v>
      </c>
      <c r="AN469">
        <v>1</v>
      </c>
      <c r="AO469" s="19">
        <v>217</v>
      </c>
      <c r="AP469">
        <v>1</v>
      </c>
      <c r="AQ469" s="19">
        <v>362</v>
      </c>
    </row>
    <row r="470" spans="1:43" x14ac:dyDescent="0.35">
      <c r="A470" s="18">
        <v>45758</v>
      </c>
      <c r="B470" t="s">
        <v>59</v>
      </c>
      <c r="C470" t="s">
        <v>53</v>
      </c>
      <c r="D470">
        <v>7</v>
      </c>
      <c r="E470">
        <v>3</v>
      </c>
      <c r="F470">
        <v>4</v>
      </c>
      <c r="G470" s="19">
        <v>3726</v>
      </c>
      <c r="H470" s="19">
        <v>2930</v>
      </c>
      <c r="I470" s="19">
        <v>796</v>
      </c>
      <c r="J470" s="19">
        <v>253</v>
      </c>
      <c r="K470" s="19">
        <v>107</v>
      </c>
      <c r="L470" s="19">
        <v>833</v>
      </c>
      <c r="M470" s="19">
        <v>82</v>
      </c>
      <c r="N470" s="19">
        <v>57</v>
      </c>
      <c r="O470" s="19">
        <f t="shared" si="14"/>
        <v>1332</v>
      </c>
      <c r="P470" s="19">
        <f t="shared" si="15"/>
        <v>2394</v>
      </c>
      <c r="Q470" t="s">
        <v>23</v>
      </c>
      <c r="R470" t="s">
        <v>64</v>
      </c>
      <c r="T470">
        <v>1</v>
      </c>
      <c r="U470" s="19">
        <v>1752</v>
      </c>
      <c r="V470">
        <v>0</v>
      </c>
      <c r="W470" s="19">
        <v>0</v>
      </c>
      <c r="X470">
        <v>0</v>
      </c>
      <c r="Y470" s="19">
        <v>0</v>
      </c>
      <c r="Z470">
        <v>0</v>
      </c>
      <c r="AA470" s="19">
        <v>0</v>
      </c>
      <c r="AB470">
        <v>1</v>
      </c>
      <c r="AC470" s="19">
        <v>955</v>
      </c>
      <c r="AD470">
        <v>0</v>
      </c>
      <c r="AE470" s="19">
        <v>0</v>
      </c>
      <c r="AF470">
        <v>0</v>
      </c>
      <c r="AG470" s="19">
        <v>0</v>
      </c>
      <c r="AH470">
        <v>2</v>
      </c>
      <c r="AI470" s="19">
        <v>446</v>
      </c>
      <c r="AJ470">
        <v>1</v>
      </c>
      <c r="AK470" s="19">
        <v>111</v>
      </c>
      <c r="AL470">
        <v>1</v>
      </c>
      <c r="AM470" s="19">
        <v>223</v>
      </c>
      <c r="AN470">
        <v>1</v>
      </c>
      <c r="AO470" s="19">
        <v>239</v>
      </c>
      <c r="AP470">
        <v>0</v>
      </c>
      <c r="AQ470" s="19">
        <v>0</v>
      </c>
    </row>
    <row r="471" spans="1:43" x14ac:dyDescent="0.35">
      <c r="A471" s="18">
        <v>45759</v>
      </c>
      <c r="B471" t="s">
        <v>60</v>
      </c>
      <c r="C471" t="s">
        <v>61</v>
      </c>
      <c r="D471">
        <v>9</v>
      </c>
      <c r="E471">
        <v>3</v>
      </c>
      <c r="F471">
        <v>6</v>
      </c>
      <c r="G471" s="19">
        <v>4613</v>
      </c>
      <c r="H471" s="19">
        <v>2714</v>
      </c>
      <c r="I471" s="19">
        <v>1899</v>
      </c>
      <c r="J471" s="19">
        <v>253</v>
      </c>
      <c r="K471" s="19">
        <v>107</v>
      </c>
      <c r="L471" s="19">
        <v>833</v>
      </c>
      <c r="M471" s="19">
        <v>102</v>
      </c>
      <c r="N471" s="19">
        <v>73</v>
      </c>
      <c r="O471" s="19">
        <f t="shared" si="14"/>
        <v>1368</v>
      </c>
      <c r="P471" s="19">
        <f t="shared" si="15"/>
        <v>3245</v>
      </c>
      <c r="Q471" t="s">
        <v>23</v>
      </c>
      <c r="R471" t="s">
        <v>64</v>
      </c>
      <c r="T471">
        <v>1</v>
      </c>
      <c r="U471" s="19">
        <v>1194</v>
      </c>
      <c r="V471">
        <v>0</v>
      </c>
      <c r="W471" s="19">
        <v>0</v>
      </c>
      <c r="X471">
        <v>0</v>
      </c>
      <c r="Y471" s="19">
        <v>0</v>
      </c>
      <c r="Z471">
        <v>1</v>
      </c>
      <c r="AA471" s="19">
        <v>868</v>
      </c>
      <c r="AB471">
        <v>1</v>
      </c>
      <c r="AC471" s="19">
        <v>651</v>
      </c>
      <c r="AD471">
        <v>1</v>
      </c>
      <c r="AE471" s="19">
        <v>1085</v>
      </c>
      <c r="AF471">
        <v>0</v>
      </c>
      <c r="AG471" s="19">
        <v>0</v>
      </c>
      <c r="AH471">
        <v>1</v>
      </c>
      <c r="AI471" s="19">
        <v>152</v>
      </c>
      <c r="AJ471">
        <v>1</v>
      </c>
      <c r="AK471" s="19">
        <v>76</v>
      </c>
      <c r="AL471">
        <v>1</v>
      </c>
      <c r="AM471" s="19">
        <v>152</v>
      </c>
      <c r="AN471">
        <v>1</v>
      </c>
      <c r="AO471" s="19">
        <v>163</v>
      </c>
      <c r="AP471">
        <v>1</v>
      </c>
      <c r="AQ471" s="19">
        <v>271</v>
      </c>
    </row>
    <row r="472" spans="1:43" x14ac:dyDescent="0.35">
      <c r="A472" s="18">
        <v>45760</v>
      </c>
      <c r="B472" t="s">
        <v>62</v>
      </c>
      <c r="C472" t="s">
        <v>61</v>
      </c>
      <c r="D472">
        <v>8</v>
      </c>
      <c r="E472">
        <v>3</v>
      </c>
      <c r="F472">
        <v>5</v>
      </c>
      <c r="G472" s="19">
        <v>4259</v>
      </c>
      <c r="H472" s="19">
        <v>3276</v>
      </c>
      <c r="I472" s="19">
        <v>983</v>
      </c>
      <c r="J472" s="19">
        <v>253</v>
      </c>
      <c r="K472" s="19">
        <v>107</v>
      </c>
      <c r="L472" s="19">
        <v>833</v>
      </c>
      <c r="M472" s="19">
        <v>94</v>
      </c>
      <c r="N472" s="19">
        <v>65</v>
      </c>
      <c r="O472" s="19">
        <f t="shared" si="14"/>
        <v>1352</v>
      </c>
      <c r="P472" s="19">
        <f t="shared" si="15"/>
        <v>2907</v>
      </c>
      <c r="Q472" t="s">
        <v>23</v>
      </c>
      <c r="R472" t="s">
        <v>64</v>
      </c>
      <c r="T472">
        <v>1</v>
      </c>
      <c r="U472" s="19">
        <v>1442</v>
      </c>
      <c r="V472">
        <v>0</v>
      </c>
      <c r="W472" s="19">
        <v>0</v>
      </c>
      <c r="X472">
        <v>0</v>
      </c>
      <c r="Y472" s="19">
        <v>0</v>
      </c>
      <c r="Z472">
        <v>1</v>
      </c>
      <c r="AA472" s="19">
        <v>1048</v>
      </c>
      <c r="AB472">
        <v>1</v>
      </c>
      <c r="AC472" s="19">
        <v>786</v>
      </c>
      <c r="AD472">
        <v>0</v>
      </c>
      <c r="AE472" s="19">
        <v>0</v>
      </c>
      <c r="AF472">
        <v>0</v>
      </c>
      <c r="AG472" s="19">
        <v>0</v>
      </c>
      <c r="AH472">
        <v>1</v>
      </c>
      <c r="AI472" s="19">
        <v>183</v>
      </c>
      <c r="AJ472">
        <v>1</v>
      </c>
      <c r="AK472" s="19">
        <v>92</v>
      </c>
      <c r="AL472">
        <v>1</v>
      </c>
      <c r="AM472" s="19">
        <v>183</v>
      </c>
      <c r="AN472">
        <v>1</v>
      </c>
      <c r="AO472" s="19">
        <v>197</v>
      </c>
      <c r="AP472">
        <v>1</v>
      </c>
      <c r="AQ472" s="19">
        <v>328</v>
      </c>
    </row>
    <row r="473" spans="1:43" x14ac:dyDescent="0.35">
      <c r="A473" s="18">
        <v>45761</v>
      </c>
      <c r="B473" t="s">
        <v>52</v>
      </c>
      <c r="C473" t="s">
        <v>53</v>
      </c>
      <c r="D473">
        <v>6</v>
      </c>
      <c r="E473">
        <v>1</v>
      </c>
      <c r="F473">
        <v>5</v>
      </c>
      <c r="G473" s="19">
        <v>3016</v>
      </c>
      <c r="H473" s="19">
        <v>1793</v>
      </c>
      <c r="I473" s="19">
        <v>1223</v>
      </c>
      <c r="J473" s="19">
        <v>253</v>
      </c>
      <c r="K473" s="19">
        <v>107</v>
      </c>
      <c r="L473" s="19">
        <v>833</v>
      </c>
      <c r="M473" s="19">
        <v>67</v>
      </c>
      <c r="N473" s="19">
        <v>49</v>
      </c>
      <c r="O473" s="19">
        <f t="shared" si="14"/>
        <v>1309</v>
      </c>
      <c r="P473" s="19">
        <f t="shared" si="15"/>
        <v>1707</v>
      </c>
      <c r="Q473" t="s">
        <v>23</v>
      </c>
      <c r="R473" t="s">
        <v>64</v>
      </c>
      <c r="T473">
        <v>1</v>
      </c>
      <c r="U473" s="19">
        <v>1793</v>
      </c>
      <c r="V473">
        <v>0</v>
      </c>
      <c r="W473" s="19">
        <v>0</v>
      </c>
      <c r="X473">
        <v>0</v>
      </c>
      <c r="Y473" s="19">
        <v>0</v>
      </c>
      <c r="Z473">
        <v>0</v>
      </c>
      <c r="AA473" s="19">
        <v>0</v>
      </c>
      <c r="AB473">
        <v>0</v>
      </c>
      <c r="AC473" s="19">
        <v>0</v>
      </c>
      <c r="AD473">
        <v>0</v>
      </c>
      <c r="AE473" s="19">
        <v>0</v>
      </c>
      <c r="AF473">
        <v>0</v>
      </c>
      <c r="AG473" s="19">
        <v>0</v>
      </c>
      <c r="AH473">
        <v>1</v>
      </c>
      <c r="AI473" s="19">
        <v>228</v>
      </c>
      <c r="AJ473">
        <v>1</v>
      </c>
      <c r="AK473" s="19">
        <v>114</v>
      </c>
      <c r="AL473">
        <v>1</v>
      </c>
      <c r="AM473" s="19">
        <v>228</v>
      </c>
      <c r="AN473">
        <v>1</v>
      </c>
      <c r="AO473" s="19">
        <v>245</v>
      </c>
      <c r="AP473">
        <v>1</v>
      </c>
      <c r="AQ473" s="19">
        <v>408</v>
      </c>
    </row>
    <row r="474" spans="1:43" x14ac:dyDescent="0.35">
      <c r="A474" s="18">
        <v>45762</v>
      </c>
      <c r="B474" t="s">
        <v>56</v>
      </c>
      <c r="C474" t="s">
        <v>53</v>
      </c>
      <c r="D474">
        <v>6</v>
      </c>
      <c r="E474">
        <v>2</v>
      </c>
      <c r="F474">
        <v>4</v>
      </c>
      <c r="G474" s="19">
        <v>3194</v>
      </c>
      <c r="H474" s="19">
        <v>2468</v>
      </c>
      <c r="I474" s="19">
        <v>726</v>
      </c>
      <c r="J474" s="19">
        <v>253</v>
      </c>
      <c r="K474" s="19">
        <v>107</v>
      </c>
      <c r="L474" s="19">
        <v>833</v>
      </c>
      <c r="M474" s="19">
        <v>70</v>
      </c>
      <c r="N474" s="19">
        <v>49</v>
      </c>
      <c r="O474" s="19">
        <f t="shared" si="14"/>
        <v>1312</v>
      </c>
      <c r="P474" s="19">
        <f t="shared" si="15"/>
        <v>1882</v>
      </c>
      <c r="Q474" t="s">
        <v>23</v>
      </c>
      <c r="R474" t="s">
        <v>64</v>
      </c>
      <c r="T474">
        <v>1</v>
      </c>
      <c r="U474" s="19">
        <v>1597</v>
      </c>
      <c r="V474">
        <v>0</v>
      </c>
      <c r="W474" s="19">
        <v>0</v>
      </c>
      <c r="X474">
        <v>0</v>
      </c>
      <c r="Y474" s="19">
        <v>0</v>
      </c>
      <c r="Z474">
        <v>0</v>
      </c>
      <c r="AA474" s="19">
        <v>0</v>
      </c>
      <c r="AB474">
        <v>1</v>
      </c>
      <c r="AC474" s="19">
        <v>871</v>
      </c>
      <c r="AD474">
        <v>0</v>
      </c>
      <c r="AE474" s="19">
        <v>0</v>
      </c>
      <c r="AF474">
        <v>0</v>
      </c>
      <c r="AG474" s="19">
        <v>0</v>
      </c>
      <c r="AH474">
        <v>1</v>
      </c>
      <c r="AI474" s="19">
        <v>203</v>
      </c>
      <c r="AJ474">
        <v>1</v>
      </c>
      <c r="AK474" s="19">
        <v>102</v>
      </c>
      <c r="AL474">
        <v>1</v>
      </c>
      <c r="AM474" s="19">
        <v>203</v>
      </c>
      <c r="AN474">
        <v>1</v>
      </c>
      <c r="AO474" s="19">
        <v>218</v>
      </c>
      <c r="AP474">
        <v>0</v>
      </c>
      <c r="AQ474" s="19">
        <v>0</v>
      </c>
    </row>
    <row r="475" spans="1:43" x14ac:dyDescent="0.35">
      <c r="A475" s="18">
        <v>45763</v>
      </c>
      <c r="B475" t="s">
        <v>57</v>
      </c>
      <c r="C475" t="s">
        <v>53</v>
      </c>
      <c r="D475">
        <v>6</v>
      </c>
      <c r="E475">
        <v>2</v>
      </c>
      <c r="F475">
        <v>4</v>
      </c>
      <c r="G475" s="19">
        <v>3371</v>
      </c>
      <c r="H475" s="19">
        <v>2605</v>
      </c>
      <c r="I475" s="19">
        <v>766</v>
      </c>
      <c r="J475" s="19">
        <v>253</v>
      </c>
      <c r="K475" s="19">
        <v>107</v>
      </c>
      <c r="L475" s="19">
        <v>833</v>
      </c>
      <c r="M475" s="19">
        <v>74</v>
      </c>
      <c r="N475" s="19">
        <v>49</v>
      </c>
      <c r="O475" s="19">
        <f t="shared" si="14"/>
        <v>1316</v>
      </c>
      <c r="P475" s="19">
        <f t="shared" si="15"/>
        <v>2055</v>
      </c>
      <c r="Q475" t="s">
        <v>23</v>
      </c>
      <c r="R475" t="s">
        <v>64</v>
      </c>
      <c r="T475">
        <v>1</v>
      </c>
      <c r="U475" s="19">
        <v>1686</v>
      </c>
      <c r="V475">
        <v>0</v>
      </c>
      <c r="W475" s="19">
        <v>0</v>
      </c>
      <c r="X475">
        <v>0</v>
      </c>
      <c r="Y475" s="19">
        <v>0</v>
      </c>
      <c r="Z475">
        <v>0</v>
      </c>
      <c r="AA475" s="19">
        <v>0</v>
      </c>
      <c r="AB475">
        <v>1</v>
      </c>
      <c r="AC475" s="19">
        <v>919</v>
      </c>
      <c r="AD475">
        <v>0</v>
      </c>
      <c r="AE475" s="19">
        <v>0</v>
      </c>
      <c r="AF475">
        <v>0</v>
      </c>
      <c r="AG475" s="19">
        <v>0</v>
      </c>
      <c r="AH475">
        <v>1</v>
      </c>
      <c r="AI475" s="19">
        <v>215</v>
      </c>
      <c r="AJ475">
        <v>1</v>
      </c>
      <c r="AK475" s="19">
        <v>107</v>
      </c>
      <c r="AL475">
        <v>1</v>
      </c>
      <c r="AM475" s="19">
        <v>215</v>
      </c>
      <c r="AN475">
        <v>1</v>
      </c>
      <c r="AO475" s="19">
        <v>230</v>
      </c>
      <c r="AP475">
        <v>0</v>
      </c>
      <c r="AQ475" s="19">
        <v>0</v>
      </c>
    </row>
    <row r="476" spans="1:43" x14ac:dyDescent="0.35">
      <c r="A476" s="18">
        <v>45764</v>
      </c>
      <c r="B476" t="s">
        <v>58</v>
      </c>
      <c r="C476" t="s">
        <v>53</v>
      </c>
      <c r="D476">
        <v>7</v>
      </c>
      <c r="E476">
        <v>2</v>
      </c>
      <c r="F476">
        <v>5</v>
      </c>
      <c r="G476" s="19">
        <v>3549</v>
      </c>
      <c r="H476" s="19">
        <v>2463</v>
      </c>
      <c r="I476" s="19">
        <v>1086</v>
      </c>
      <c r="J476" s="19">
        <v>253</v>
      </c>
      <c r="K476" s="19">
        <v>107</v>
      </c>
      <c r="L476" s="19">
        <v>833</v>
      </c>
      <c r="M476" s="19">
        <v>78</v>
      </c>
      <c r="N476" s="19">
        <v>57</v>
      </c>
      <c r="O476" s="19">
        <f t="shared" si="14"/>
        <v>1328</v>
      </c>
      <c r="P476" s="19">
        <f t="shared" si="15"/>
        <v>2221</v>
      </c>
      <c r="Q476" t="s">
        <v>23</v>
      </c>
      <c r="R476" t="s">
        <v>64</v>
      </c>
      <c r="T476">
        <v>1</v>
      </c>
      <c r="U476" s="19">
        <v>1593</v>
      </c>
      <c r="V476">
        <v>0</v>
      </c>
      <c r="W476" s="19">
        <v>0</v>
      </c>
      <c r="X476">
        <v>0</v>
      </c>
      <c r="Y476" s="19">
        <v>0</v>
      </c>
      <c r="Z476">
        <v>0</v>
      </c>
      <c r="AA476" s="19">
        <v>0</v>
      </c>
      <c r="AB476">
        <v>1</v>
      </c>
      <c r="AC476" s="19">
        <v>869</v>
      </c>
      <c r="AD476">
        <v>0</v>
      </c>
      <c r="AE476" s="19">
        <v>0</v>
      </c>
      <c r="AF476">
        <v>0</v>
      </c>
      <c r="AG476" s="19">
        <v>0</v>
      </c>
      <c r="AH476">
        <v>1</v>
      </c>
      <c r="AI476" s="19">
        <v>203</v>
      </c>
      <c r="AJ476">
        <v>1</v>
      </c>
      <c r="AK476" s="19">
        <v>101</v>
      </c>
      <c r="AL476">
        <v>1</v>
      </c>
      <c r="AM476" s="19">
        <v>203</v>
      </c>
      <c r="AN476">
        <v>1</v>
      </c>
      <c r="AO476" s="19">
        <v>217</v>
      </c>
      <c r="AP476">
        <v>1</v>
      </c>
      <c r="AQ476" s="19">
        <v>362</v>
      </c>
    </row>
    <row r="477" spans="1:43" x14ac:dyDescent="0.35">
      <c r="A477" s="18">
        <v>45765</v>
      </c>
      <c r="B477" t="s">
        <v>59</v>
      </c>
      <c r="C477" t="s">
        <v>53</v>
      </c>
      <c r="D477">
        <v>7</v>
      </c>
      <c r="E477">
        <v>2</v>
      </c>
      <c r="F477">
        <v>5</v>
      </c>
      <c r="G477" s="19">
        <v>3726</v>
      </c>
      <c r="H477" s="19">
        <v>2585</v>
      </c>
      <c r="I477" s="19">
        <v>1141</v>
      </c>
      <c r="J477" s="19">
        <v>253</v>
      </c>
      <c r="K477" s="19">
        <v>107</v>
      </c>
      <c r="L477" s="19">
        <v>833</v>
      </c>
      <c r="M477" s="19">
        <v>82</v>
      </c>
      <c r="N477" s="19">
        <v>57</v>
      </c>
      <c r="O477" s="19">
        <f t="shared" si="14"/>
        <v>1332</v>
      </c>
      <c r="P477" s="19">
        <f t="shared" si="15"/>
        <v>2394</v>
      </c>
      <c r="Q477" t="s">
        <v>23</v>
      </c>
      <c r="R477" t="s">
        <v>64</v>
      </c>
      <c r="T477">
        <v>1</v>
      </c>
      <c r="U477" s="19">
        <v>1673</v>
      </c>
      <c r="V477">
        <v>0</v>
      </c>
      <c r="W477" s="19">
        <v>0</v>
      </c>
      <c r="X477">
        <v>0</v>
      </c>
      <c r="Y477" s="19">
        <v>0</v>
      </c>
      <c r="Z477">
        <v>0</v>
      </c>
      <c r="AA477" s="19">
        <v>0</v>
      </c>
      <c r="AB477">
        <v>1</v>
      </c>
      <c r="AC477" s="19">
        <v>912</v>
      </c>
      <c r="AD477">
        <v>0</v>
      </c>
      <c r="AE477" s="19">
        <v>0</v>
      </c>
      <c r="AF477">
        <v>0</v>
      </c>
      <c r="AG477" s="19">
        <v>0</v>
      </c>
      <c r="AH477">
        <v>1</v>
      </c>
      <c r="AI477" s="19">
        <v>213</v>
      </c>
      <c r="AJ477">
        <v>1</v>
      </c>
      <c r="AK477" s="19">
        <v>106</v>
      </c>
      <c r="AL477">
        <v>1</v>
      </c>
      <c r="AM477" s="19">
        <v>213</v>
      </c>
      <c r="AN477">
        <v>1</v>
      </c>
      <c r="AO477" s="19">
        <v>228</v>
      </c>
      <c r="AP477">
        <v>1</v>
      </c>
      <c r="AQ477" s="19">
        <v>380</v>
      </c>
    </row>
    <row r="478" spans="1:43" x14ac:dyDescent="0.35">
      <c r="A478" s="18">
        <v>45766</v>
      </c>
      <c r="B478" t="s">
        <v>60</v>
      </c>
      <c r="C478" t="s">
        <v>61</v>
      </c>
      <c r="D478">
        <v>9</v>
      </c>
      <c r="E478">
        <v>3</v>
      </c>
      <c r="F478">
        <v>6</v>
      </c>
      <c r="G478" s="19">
        <v>4613</v>
      </c>
      <c r="H478" s="19">
        <v>2714</v>
      </c>
      <c r="I478" s="19">
        <v>1899</v>
      </c>
      <c r="J478" s="19">
        <v>253</v>
      </c>
      <c r="K478" s="19">
        <v>107</v>
      </c>
      <c r="L478" s="19">
        <v>833</v>
      </c>
      <c r="M478" s="19">
        <v>102</v>
      </c>
      <c r="N478" s="19">
        <v>73</v>
      </c>
      <c r="O478" s="19">
        <f t="shared" si="14"/>
        <v>1368</v>
      </c>
      <c r="P478" s="19">
        <f t="shared" si="15"/>
        <v>3245</v>
      </c>
      <c r="Q478" t="s">
        <v>23</v>
      </c>
      <c r="R478" t="s">
        <v>64</v>
      </c>
      <c r="T478">
        <v>1</v>
      </c>
      <c r="U478" s="19">
        <v>1194</v>
      </c>
      <c r="V478">
        <v>0</v>
      </c>
      <c r="W478" s="19">
        <v>0</v>
      </c>
      <c r="X478">
        <v>0</v>
      </c>
      <c r="Y478" s="19">
        <v>0</v>
      </c>
      <c r="Z478">
        <v>1</v>
      </c>
      <c r="AA478" s="19">
        <v>868</v>
      </c>
      <c r="AB478">
        <v>1</v>
      </c>
      <c r="AC478" s="19">
        <v>651</v>
      </c>
      <c r="AD478">
        <v>1</v>
      </c>
      <c r="AE478" s="19">
        <v>1085</v>
      </c>
      <c r="AF478">
        <v>0</v>
      </c>
      <c r="AG478" s="19">
        <v>0</v>
      </c>
      <c r="AH478">
        <v>1</v>
      </c>
      <c r="AI478" s="19">
        <v>152</v>
      </c>
      <c r="AJ478">
        <v>1</v>
      </c>
      <c r="AK478" s="19">
        <v>76</v>
      </c>
      <c r="AL478">
        <v>1</v>
      </c>
      <c r="AM478" s="19">
        <v>152</v>
      </c>
      <c r="AN478">
        <v>1</v>
      </c>
      <c r="AO478" s="19">
        <v>163</v>
      </c>
      <c r="AP478">
        <v>1</v>
      </c>
      <c r="AQ478" s="19">
        <v>271</v>
      </c>
    </row>
    <row r="479" spans="1:43" x14ac:dyDescent="0.35">
      <c r="A479" s="18">
        <v>45767</v>
      </c>
      <c r="B479" t="s">
        <v>62</v>
      </c>
      <c r="C479" t="s">
        <v>61</v>
      </c>
      <c r="D479">
        <v>8</v>
      </c>
      <c r="E479">
        <v>3</v>
      </c>
      <c r="F479">
        <v>5</v>
      </c>
      <c r="G479" s="19">
        <v>4259</v>
      </c>
      <c r="H479" s="19">
        <v>3276</v>
      </c>
      <c r="I479" s="19">
        <v>983</v>
      </c>
      <c r="J479" s="19">
        <v>253</v>
      </c>
      <c r="K479" s="19">
        <v>107</v>
      </c>
      <c r="L479" s="19">
        <v>833</v>
      </c>
      <c r="M479" s="19">
        <v>94</v>
      </c>
      <c r="N479" s="19">
        <v>65</v>
      </c>
      <c r="O479" s="19">
        <f t="shared" si="14"/>
        <v>1352</v>
      </c>
      <c r="P479" s="19">
        <f t="shared" si="15"/>
        <v>2907</v>
      </c>
      <c r="Q479" t="s">
        <v>23</v>
      </c>
      <c r="R479" t="s">
        <v>64</v>
      </c>
      <c r="T479">
        <v>1</v>
      </c>
      <c r="U479" s="19">
        <v>1442</v>
      </c>
      <c r="V479">
        <v>0</v>
      </c>
      <c r="W479" s="19">
        <v>0</v>
      </c>
      <c r="X479">
        <v>0</v>
      </c>
      <c r="Y479" s="19">
        <v>0</v>
      </c>
      <c r="Z479">
        <v>1</v>
      </c>
      <c r="AA479" s="19">
        <v>1048</v>
      </c>
      <c r="AB479">
        <v>1</v>
      </c>
      <c r="AC479" s="19">
        <v>786</v>
      </c>
      <c r="AD479">
        <v>0</v>
      </c>
      <c r="AE479" s="19">
        <v>0</v>
      </c>
      <c r="AF479">
        <v>0</v>
      </c>
      <c r="AG479" s="19">
        <v>0</v>
      </c>
      <c r="AH479">
        <v>1</v>
      </c>
      <c r="AI479" s="19">
        <v>183</v>
      </c>
      <c r="AJ479">
        <v>1</v>
      </c>
      <c r="AK479" s="19">
        <v>92</v>
      </c>
      <c r="AL479">
        <v>1</v>
      </c>
      <c r="AM479" s="19">
        <v>183</v>
      </c>
      <c r="AN479">
        <v>1</v>
      </c>
      <c r="AO479" s="19">
        <v>197</v>
      </c>
      <c r="AP479">
        <v>1</v>
      </c>
      <c r="AQ479" s="19">
        <v>328</v>
      </c>
    </row>
    <row r="480" spans="1:43" x14ac:dyDescent="0.35">
      <c r="A480" s="18">
        <v>45768</v>
      </c>
      <c r="B480" t="s">
        <v>52</v>
      </c>
      <c r="C480" t="s">
        <v>53</v>
      </c>
      <c r="D480">
        <v>6</v>
      </c>
      <c r="E480">
        <v>1</v>
      </c>
      <c r="F480">
        <v>5</v>
      </c>
      <c r="G480" s="19">
        <v>3016</v>
      </c>
      <c r="H480" s="19">
        <v>1340</v>
      </c>
      <c r="I480" s="19">
        <v>1676</v>
      </c>
      <c r="J480" s="19">
        <v>253</v>
      </c>
      <c r="K480" s="19">
        <v>107</v>
      </c>
      <c r="L480" s="19">
        <v>833</v>
      </c>
      <c r="M480" s="19">
        <v>67</v>
      </c>
      <c r="N480" s="19">
        <v>49</v>
      </c>
      <c r="O480" s="19">
        <f t="shared" si="14"/>
        <v>1309</v>
      </c>
      <c r="P480" s="19">
        <f t="shared" si="15"/>
        <v>1707</v>
      </c>
      <c r="Q480" t="s">
        <v>27</v>
      </c>
      <c r="R480" t="s">
        <v>64</v>
      </c>
      <c r="T480">
        <v>0</v>
      </c>
      <c r="U480" s="19">
        <v>0</v>
      </c>
      <c r="V480">
        <v>0</v>
      </c>
      <c r="W480" s="19">
        <v>0</v>
      </c>
      <c r="X480">
        <v>0</v>
      </c>
      <c r="Y480" s="19">
        <v>0</v>
      </c>
      <c r="Z480">
        <v>0</v>
      </c>
      <c r="AA480" s="19">
        <v>0</v>
      </c>
      <c r="AB480">
        <v>1</v>
      </c>
      <c r="AC480" s="19">
        <v>1340</v>
      </c>
      <c r="AD480">
        <v>0</v>
      </c>
      <c r="AE480" s="19">
        <v>0</v>
      </c>
      <c r="AF480">
        <v>0</v>
      </c>
      <c r="AG480" s="19">
        <v>0</v>
      </c>
      <c r="AH480">
        <v>1</v>
      </c>
      <c r="AI480" s="19">
        <v>313</v>
      </c>
      <c r="AJ480">
        <v>1</v>
      </c>
      <c r="AK480" s="19">
        <v>156</v>
      </c>
      <c r="AL480">
        <v>1</v>
      </c>
      <c r="AM480" s="19">
        <v>313</v>
      </c>
      <c r="AN480">
        <v>1</v>
      </c>
      <c r="AO480" s="19">
        <v>335</v>
      </c>
      <c r="AP480">
        <v>1</v>
      </c>
      <c r="AQ480" s="19">
        <v>559</v>
      </c>
    </row>
    <row r="481" spans="1:43" x14ac:dyDescent="0.35">
      <c r="A481" s="18">
        <v>45769</v>
      </c>
      <c r="B481" t="s">
        <v>56</v>
      </c>
      <c r="C481" t="s">
        <v>53</v>
      </c>
      <c r="D481">
        <v>6</v>
      </c>
      <c r="E481">
        <v>1</v>
      </c>
      <c r="F481">
        <v>5</v>
      </c>
      <c r="G481" s="19">
        <v>3194</v>
      </c>
      <c r="H481" s="19">
        <v>1899</v>
      </c>
      <c r="I481" s="19">
        <v>1295</v>
      </c>
      <c r="J481" s="19">
        <v>253</v>
      </c>
      <c r="K481" s="19">
        <v>107</v>
      </c>
      <c r="L481" s="19">
        <v>833</v>
      </c>
      <c r="M481" s="19">
        <v>70</v>
      </c>
      <c r="N481" s="19">
        <v>49</v>
      </c>
      <c r="O481" s="19">
        <f t="shared" si="14"/>
        <v>1312</v>
      </c>
      <c r="P481" s="19">
        <f t="shared" si="15"/>
        <v>1882</v>
      </c>
      <c r="Q481" t="s">
        <v>23</v>
      </c>
      <c r="R481" t="s">
        <v>64</v>
      </c>
      <c r="T481">
        <v>1</v>
      </c>
      <c r="U481" s="19">
        <v>1899</v>
      </c>
      <c r="V481">
        <v>0</v>
      </c>
      <c r="W481" s="19">
        <v>0</v>
      </c>
      <c r="X481">
        <v>0</v>
      </c>
      <c r="Y481" s="19">
        <v>0</v>
      </c>
      <c r="Z481">
        <v>0</v>
      </c>
      <c r="AA481" s="19">
        <v>0</v>
      </c>
      <c r="AB481">
        <v>0</v>
      </c>
      <c r="AC481" s="19">
        <v>0</v>
      </c>
      <c r="AD481">
        <v>0</v>
      </c>
      <c r="AE481" s="19">
        <v>0</v>
      </c>
      <c r="AF481">
        <v>0</v>
      </c>
      <c r="AG481" s="19">
        <v>0</v>
      </c>
      <c r="AH481">
        <v>1</v>
      </c>
      <c r="AI481" s="19">
        <v>242</v>
      </c>
      <c r="AJ481">
        <v>1</v>
      </c>
      <c r="AK481" s="19">
        <v>121</v>
      </c>
      <c r="AL481">
        <v>1</v>
      </c>
      <c r="AM481" s="19">
        <v>242</v>
      </c>
      <c r="AN481">
        <v>1</v>
      </c>
      <c r="AO481" s="19">
        <v>259</v>
      </c>
      <c r="AP481">
        <v>1</v>
      </c>
      <c r="AQ481" s="19">
        <v>432</v>
      </c>
    </row>
    <row r="482" spans="1:43" x14ac:dyDescent="0.35">
      <c r="A482" s="18">
        <v>45770</v>
      </c>
      <c r="B482" t="s">
        <v>57</v>
      </c>
      <c r="C482" t="s">
        <v>53</v>
      </c>
      <c r="D482">
        <v>6</v>
      </c>
      <c r="E482">
        <v>2</v>
      </c>
      <c r="F482">
        <v>4</v>
      </c>
      <c r="G482" s="19">
        <v>3371</v>
      </c>
      <c r="H482" s="19">
        <v>2605</v>
      </c>
      <c r="I482" s="19">
        <v>766</v>
      </c>
      <c r="J482" s="19">
        <v>253</v>
      </c>
      <c r="K482" s="19">
        <v>107</v>
      </c>
      <c r="L482" s="19">
        <v>833</v>
      </c>
      <c r="M482" s="19">
        <v>74</v>
      </c>
      <c r="N482" s="19">
        <v>49</v>
      </c>
      <c r="O482" s="19">
        <f t="shared" si="14"/>
        <v>1316</v>
      </c>
      <c r="P482" s="19">
        <f t="shared" si="15"/>
        <v>2055</v>
      </c>
      <c r="Q482" t="s">
        <v>23</v>
      </c>
      <c r="R482" t="s">
        <v>64</v>
      </c>
      <c r="T482">
        <v>1</v>
      </c>
      <c r="U482" s="19">
        <v>1686</v>
      </c>
      <c r="V482">
        <v>0</v>
      </c>
      <c r="W482" s="19">
        <v>0</v>
      </c>
      <c r="X482">
        <v>0</v>
      </c>
      <c r="Y482" s="19">
        <v>0</v>
      </c>
      <c r="Z482">
        <v>0</v>
      </c>
      <c r="AA482" s="19">
        <v>0</v>
      </c>
      <c r="AB482">
        <v>1</v>
      </c>
      <c r="AC482" s="19">
        <v>919</v>
      </c>
      <c r="AD482">
        <v>0</v>
      </c>
      <c r="AE482" s="19">
        <v>0</v>
      </c>
      <c r="AF482">
        <v>0</v>
      </c>
      <c r="AG482" s="19">
        <v>0</v>
      </c>
      <c r="AH482">
        <v>1</v>
      </c>
      <c r="AI482" s="19">
        <v>215</v>
      </c>
      <c r="AJ482">
        <v>1</v>
      </c>
      <c r="AK482" s="19">
        <v>107</v>
      </c>
      <c r="AL482">
        <v>1</v>
      </c>
      <c r="AM482" s="19">
        <v>215</v>
      </c>
      <c r="AN482">
        <v>1</v>
      </c>
      <c r="AO482" s="19">
        <v>230</v>
      </c>
      <c r="AP482">
        <v>0</v>
      </c>
      <c r="AQ482" s="19">
        <v>0</v>
      </c>
    </row>
    <row r="483" spans="1:43" x14ac:dyDescent="0.35">
      <c r="A483" s="18">
        <v>45771</v>
      </c>
      <c r="B483" t="s">
        <v>58</v>
      </c>
      <c r="C483" t="s">
        <v>53</v>
      </c>
      <c r="D483">
        <v>7</v>
      </c>
      <c r="E483">
        <v>2</v>
      </c>
      <c r="F483">
        <v>5</v>
      </c>
      <c r="G483" s="19">
        <v>3549</v>
      </c>
      <c r="H483" s="19">
        <v>2463</v>
      </c>
      <c r="I483" s="19">
        <v>1086</v>
      </c>
      <c r="J483" s="19">
        <v>253</v>
      </c>
      <c r="K483" s="19">
        <v>107</v>
      </c>
      <c r="L483" s="19">
        <v>833</v>
      </c>
      <c r="M483" s="19">
        <v>78</v>
      </c>
      <c r="N483" s="19">
        <v>57</v>
      </c>
      <c r="O483" s="19">
        <f t="shared" si="14"/>
        <v>1328</v>
      </c>
      <c r="P483" s="19">
        <f t="shared" si="15"/>
        <v>2221</v>
      </c>
      <c r="Q483" t="s">
        <v>23</v>
      </c>
      <c r="R483" t="s">
        <v>64</v>
      </c>
      <c r="T483">
        <v>1</v>
      </c>
      <c r="U483" s="19">
        <v>1593</v>
      </c>
      <c r="V483">
        <v>0</v>
      </c>
      <c r="W483" s="19">
        <v>0</v>
      </c>
      <c r="X483">
        <v>0</v>
      </c>
      <c r="Y483" s="19">
        <v>0</v>
      </c>
      <c r="Z483">
        <v>0</v>
      </c>
      <c r="AA483" s="19">
        <v>0</v>
      </c>
      <c r="AB483">
        <v>1</v>
      </c>
      <c r="AC483" s="19">
        <v>869</v>
      </c>
      <c r="AD483">
        <v>0</v>
      </c>
      <c r="AE483" s="19">
        <v>0</v>
      </c>
      <c r="AF483">
        <v>0</v>
      </c>
      <c r="AG483" s="19">
        <v>0</v>
      </c>
      <c r="AH483">
        <v>1</v>
      </c>
      <c r="AI483" s="19">
        <v>203</v>
      </c>
      <c r="AJ483">
        <v>1</v>
      </c>
      <c r="AK483" s="19">
        <v>101</v>
      </c>
      <c r="AL483">
        <v>1</v>
      </c>
      <c r="AM483" s="19">
        <v>203</v>
      </c>
      <c r="AN483">
        <v>1</v>
      </c>
      <c r="AO483" s="19">
        <v>217</v>
      </c>
      <c r="AP483">
        <v>1</v>
      </c>
      <c r="AQ483" s="19">
        <v>362</v>
      </c>
    </row>
    <row r="484" spans="1:43" x14ac:dyDescent="0.35">
      <c r="A484" s="18">
        <v>45772</v>
      </c>
      <c r="B484" t="s">
        <v>59</v>
      </c>
      <c r="C484" t="s">
        <v>53</v>
      </c>
      <c r="D484">
        <v>7</v>
      </c>
      <c r="E484">
        <v>2</v>
      </c>
      <c r="F484">
        <v>5</v>
      </c>
      <c r="G484" s="19">
        <v>3726</v>
      </c>
      <c r="H484" s="19">
        <v>2585</v>
      </c>
      <c r="I484" s="19">
        <v>1141</v>
      </c>
      <c r="J484" s="19">
        <v>253</v>
      </c>
      <c r="K484" s="19">
        <v>107</v>
      </c>
      <c r="L484" s="19">
        <v>833</v>
      </c>
      <c r="M484" s="19">
        <v>82</v>
      </c>
      <c r="N484" s="19">
        <v>57</v>
      </c>
      <c r="O484" s="19">
        <f t="shared" si="14"/>
        <v>1332</v>
      </c>
      <c r="P484" s="19">
        <f t="shared" si="15"/>
        <v>2394</v>
      </c>
      <c r="Q484" t="s">
        <v>23</v>
      </c>
      <c r="R484" t="s">
        <v>64</v>
      </c>
      <c r="T484">
        <v>1</v>
      </c>
      <c r="U484" s="19">
        <v>1673</v>
      </c>
      <c r="V484">
        <v>0</v>
      </c>
      <c r="W484" s="19">
        <v>0</v>
      </c>
      <c r="X484">
        <v>0</v>
      </c>
      <c r="Y484" s="19">
        <v>0</v>
      </c>
      <c r="Z484">
        <v>0</v>
      </c>
      <c r="AA484" s="19">
        <v>0</v>
      </c>
      <c r="AB484">
        <v>1</v>
      </c>
      <c r="AC484" s="19">
        <v>912</v>
      </c>
      <c r="AD484">
        <v>0</v>
      </c>
      <c r="AE484" s="19">
        <v>0</v>
      </c>
      <c r="AF484">
        <v>0</v>
      </c>
      <c r="AG484" s="19">
        <v>0</v>
      </c>
      <c r="AH484">
        <v>1</v>
      </c>
      <c r="AI484" s="19">
        <v>213</v>
      </c>
      <c r="AJ484">
        <v>1</v>
      </c>
      <c r="AK484" s="19">
        <v>106</v>
      </c>
      <c r="AL484">
        <v>1</v>
      </c>
      <c r="AM484" s="19">
        <v>213</v>
      </c>
      <c r="AN484">
        <v>1</v>
      </c>
      <c r="AO484" s="19">
        <v>228</v>
      </c>
      <c r="AP484">
        <v>1</v>
      </c>
      <c r="AQ484" s="19">
        <v>380</v>
      </c>
    </row>
    <row r="485" spans="1:43" x14ac:dyDescent="0.35">
      <c r="A485" s="18">
        <v>45773</v>
      </c>
      <c r="B485" t="s">
        <v>60</v>
      </c>
      <c r="C485" t="s">
        <v>61</v>
      </c>
      <c r="D485">
        <v>9</v>
      </c>
      <c r="E485">
        <v>4</v>
      </c>
      <c r="F485">
        <v>5</v>
      </c>
      <c r="G485" s="19">
        <v>4613</v>
      </c>
      <c r="H485" s="19">
        <v>3592</v>
      </c>
      <c r="I485" s="19">
        <v>1021</v>
      </c>
      <c r="J485" s="19">
        <v>253</v>
      </c>
      <c r="K485" s="19">
        <v>107</v>
      </c>
      <c r="L485" s="19">
        <v>833</v>
      </c>
      <c r="M485" s="19">
        <v>102</v>
      </c>
      <c r="N485" s="19">
        <v>73</v>
      </c>
      <c r="O485" s="19">
        <f t="shared" si="14"/>
        <v>1368</v>
      </c>
      <c r="P485" s="19">
        <f t="shared" si="15"/>
        <v>3245</v>
      </c>
      <c r="Q485" t="s">
        <v>23</v>
      </c>
      <c r="R485" t="s">
        <v>64</v>
      </c>
      <c r="T485">
        <v>1</v>
      </c>
      <c r="U485" s="19">
        <v>1497</v>
      </c>
      <c r="V485">
        <v>0</v>
      </c>
      <c r="W485" s="19">
        <v>0</v>
      </c>
      <c r="X485">
        <v>0</v>
      </c>
      <c r="Y485" s="19">
        <v>0</v>
      </c>
      <c r="Z485">
        <v>1</v>
      </c>
      <c r="AA485" s="19">
        <v>1089</v>
      </c>
      <c r="AB485">
        <v>1</v>
      </c>
      <c r="AC485" s="19">
        <v>816</v>
      </c>
      <c r="AD485">
        <v>0</v>
      </c>
      <c r="AE485" s="19">
        <v>0</v>
      </c>
      <c r="AF485">
        <v>0</v>
      </c>
      <c r="AG485" s="19">
        <v>0</v>
      </c>
      <c r="AH485">
        <v>2</v>
      </c>
      <c r="AI485" s="19">
        <v>381</v>
      </c>
      <c r="AJ485">
        <v>1</v>
      </c>
      <c r="AK485" s="19">
        <v>95</v>
      </c>
      <c r="AL485">
        <v>1</v>
      </c>
      <c r="AM485" s="19">
        <v>191</v>
      </c>
      <c r="AN485">
        <v>1</v>
      </c>
      <c r="AO485" s="19">
        <v>204</v>
      </c>
      <c r="AP485">
        <v>1</v>
      </c>
      <c r="AQ485" s="19">
        <v>340</v>
      </c>
    </row>
    <row r="486" spans="1:43" x14ac:dyDescent="0.35">
      <c r="A486" s="18">
        <v>45774</v>
      </c>
      <c r="B486" t="s">
        <v>62</v>
      </c>
      <c r="C486" t="s">
        <v>61</v>
      </c>
      <c r="D486">
        <v>8</v>
      </c>
      <c r="E486">
        <v>3</v>
      </c>
      <c r="F486">
        <v>5</v>
      </c>
      <c r="G486" s="19">
        <v>4259</v>
      </c>
      <c r="H486" s="19">
        <v>3276</v>
      </c>
      <c r="I486" s="19">
        <v>983</v>
      </c>
      <c r="J486" s="19">
        <v>253</v>
      </c>
      <c r="K486" s="19">
        <v>107</v>
      </c>
      <c r="L486" s="19">
        <v>833</v>
      </c>
      <c r="M486" s="19">
        <v>94</v>
      </c>
      <c r="N486" s="19">
        <v>65</v>
      </c>
      <c r="O486" s="19">
        <f t="shared" si="14"/>
        <v>1352</v>
      </c>
      <c r="P486" s="19">
        <f t="shared" si="15"/>
        <v>2907</v>
      </c>
      <c r="Q486" t="s">
        <v>23</v>
      </c>
      <c r="R486" t="s">
        <v>64</v>
      </c>
      <c r="T486">
        <v>1</v>
      </c>
      <c r="U486" s="19">
        <v>1442</v>
      </c>
      <c r="V486">
        <v>0</v>
      </c>
      <c r="W486" s="19">
        <v>0</v>
      </c>
      <c r="X486">
        <v>0</v>
      </c>
      <c r="Y486" s="19">
        <v>0</v>
      </c>
      <c r="Z486">
        <v>1</v>
      </c>
      <c r="AA486" s="19">
        <v>1048</v>
      </c>
      <c r="AB486">
        <v>1</v>
      </c>
      <c r="AC486" s="19">
        <v>786</v>
      </c>
      <c r="AD486">
        <v>0</v>
      </c>
      <c r="AE486" s="19">
        <v>0</v>
      </c>
      <c r="AF486">
        <v>0</v>
      </c>
      <c r="AG486" s="19">
        <v>0</v>
      </c>
      <c r="AH486">
        <v>1</v>
      </c>
      <c r="AI486" s="19">
        <v>183</v>
      </c>
      <c r="AJ486">
        <v>1</v>
      </c>
      <c r="AK486" s="19">
        <v>92</v>
      </c>
      <c r="AL486">
        <v>1</v>
      </c>
      <c r="AM486" s="19">
        <v>183</v>
      </c>
      <c r="AN486">
        <v>1</v>
      </c>
      <c r="AO486" s="19">
        <v>197</v>
      </c>
      <c r="AP486">
        <v>1</v>
      </c>
      <c r="AQ486" s="19">
        <v>328</v>
      </c>
    </row>
    <row r="487" spans="1:43" x14ac:dyDescent="0.35">
      <c r="A487" s="18">
        <v>45775</v>
      </c>
      <c r="B487" t="s">
        <v>52</v>
      </c>
      <c r="C487" t="s">
        <v>53</v>
      </c>
      <c r="D487">
        <v>6</v>
      </c>
      <c r="E487">
        <v>2</v>
      </c>
      <c r="F487">
        <v>4</v>
      </c>
      <c r="G487" s="19">
        <v>3016</v>
      </c>
      <c r="H487" s="19">
        <v>2331</v>
      </c>
      <c r="I487" s="19">
        <v>685</v>
      </c>
      <c r="J487" s="19">
        <v>253</v>
      </c>
      <c r="K487" s="19">
        <v>107</v>
      </c>
      <c r="L487" s="19">
        <v>833</v>
      </c>
      <c r="M487" s="19">
        <v>67</v>
      </c>
      <c r="N487" s="19">
        <v>49</v>
      </c>
      <c r="O487" s="19">
        <f t="shared" si="14"/>
        <v>1309</v>
      </c>
      <c r="P487" s="19">
        <f t="shared" si="15"/>
        <v>1707</v>
      </c>
      <c r="Q487" t="s">
        <v>23</v>
      </c>
      <c r="R487" t="s">
        <v>64</v>
      </c>
      <c r="T487">
        <v>1</v>
      </c>
      <c r="U487" s="19">
        <v>1508</v>
      </c>
      <c r="V487">
        <v>0</v>
      </c>
      <c r="W487" s="19">
        <v>0</v>
      </c>
      <c r="X487">
        <v>0</v>
      </c>
      <c r="Y487" s="19">
        <v>0</v>
      </c>
      <c r="Z487">
        <v>0</v>
      </c>
      <c r="AA487" s="19">
        <v>0</v>
      </c>
      <c r="AB487">
        <v>1</v>
      </c>
      <c r="AC487" s="19">
        <v>823</v>
      </c>
      <c r="AD487">
        <v>0</v>
      </c>
      <c r="AE487" s="19">
        <v>0</v>
      </c>
      <c r="AF487">
        <v>0</v>
      </c>
      <c r="AG487" s="19">
        <v>0</v>
      </c>
      <c r="AH487">
        <v>1</v>
      </c>
      <c r="AI487" s="19">
        <v>192</v>
      </c>
      <c r="AJ487">
        <v>1</v>
      </c>
      <c r="AK487" s="19">
        <v>96</v>
      </c>
      <c r="AL487">
        <v>1</v>
      </c>
      <c r="AM487" s="19">
        <v>192</v>
      </c>
      <c r="AN487">
        <v>1</v>
      </c>
      <c r="AO487" s="19">
        <v>206</v>
      </c>
      <c r="AP487">
        <v>0</v>
      </c>
      <c r="AQ487" s="19">
        <v>0</v>
      </c>
    </row>
    <row r="488" spans="1:43" x14ac:dyDescent="0.35">
      <c r="A488" s="18">
        <v>45776</v>
      </c>
      <c r="B488" t="s">
        <v>56</v>
      </c>
      <c r="C488" t="s">
        <v>53</v>
      </c>
      <c r="D488">
        <v>6</v>
      </c>
      <c r="E488">
        <v>1</v>
      </c>
      <c r="F488">
        <v>5</v>
      </c>
      <c r="G488" s="19">
        <v>3194</v>
      </c>
      <c r="H488" s="19">
        <v>1899</v>
      </c>
      <c r="I488" s="19">
        <v>1295</v>
      </c>
      <c r="J488" s="19">
        <v>253</v>
      </c>
      <c r="K488" s="19">
        <v>107</v>
      </c>
      <c r="L488" s="19">
        <v>833</v>
      </c>
      <c r="M488" s="19">
        <v>70</v>
      </c>
      <c r="N488" s="19">
        <v>49</v>
      </c>
      <c r="O488" s="19">
        <f t="shared" si="14"/>
        <v>1312</v>
      </c>
      <c r="P488" s="19">
        <f t="shared" si="15"/>
        <v>1882</v>
      </c>
      <c r="Q488" t="s">
        <v>23</v>
      </c>
      <c r="R488" t="s">
        <v>64</v>
      </c>
      <c r="T488">
        <v>1</v>
      </c>
      <c r="U488" s="19">
        <v>1899</v>
      </c>
      <c r="V488">
        <v>0</v>
      </c>
      <c r="W488" s="19">
        <v>0</v>
      </c>
      <c r="X488">
        <v>0</v>
      </c>
      <c r="Y488" s="19">
        <v>0</v>
      </c>
      <c r="Z488">
        <v>0</v>
      </c>
      <c r="AA488" s="19">
        <v>0</v>
      </c>
      <c r="AB488">
        <v>0</v>
      </c>
      <c r="AC488" s="19">
        <v>0</v>
      </c>
      <c r="AD488">
        <v>0</v>
      </c>
      <c r="AE488" s="19">
        <v>0</v>
      </c>
      <c r="AF488">
        <v>0</v>
      </c>
      <c r="AG488" s="19">
        <v>0</v>
      </c>
      <c r="AH488">
        <v>1</v>
      </c>
      <c r="AI488" s="19">
        <v>242</v>
      </c>
      <c r="AJ488">
        <v>1</v>
      </c>
      <c r="AK488" s="19">
        <v>121</v>
      </c>
      <c r="AL488">
        <v>1</v>
      </c>
      <c r="AM488" s="19">
        <v>242</v>
      </c>
      <c r="AN488">
        <v>1</v>
      </c>
      <c r="AO488" s="19">
        <v>259</v>
      </c>
      <c r="AP488">
        <v>1</v>
      </c>
      <c r="AQ488" s="19">
        <v>432</v>
      </c>
    </row>
    <row r="489" spans="1:43" x14ac:dyDescent="0.35">
      <c r="A489" s="18">
        <v>45777</v>
      </c>
      <c r="B489" t="s">
        <v>57</v>
      </c>
      <c r="C489" t="s">
        <v>53</v>
      </c>
      <c r="D489">
        <v>6</v>
      </c>
      <c r="E489">
        <v>2</v>
      </c>
      <c r="F489">
        <v>4</v>
      </c>
      <c r="G489" s="19">
        <v>3374</v>
      </c>
      <c r="H489" s="19">
        <v>2607</v>
      </c>
      <c r="I489" s="19">
        <v>767</v>
      </c>
      <c r="J489" s="19">
        <v>253</v>
      </c>
      <c r="K489" s="19">
        <v>107</v>
      </c>
      <c r="L489" s="19">
        <v>833</v>
      </c>
      <c r="M489" s="19">
        <v>74</v>
      </c>
      <c r="N489" s="19">
        <v>49</v>
      </c>
      <c r="O489" s="19">
        <f t="shared" si="14"/>
        <v>1316</v>
      </c>
      <c r="P489" s="19">
        <f t="shared" si="15"/>
        <v>2058</v>
      </c>
      <c r="Q489" t="s">
        <v>23</v>
      </c>
      <c r="R489" t="s">
        <v>64</v>
      </c>
      <c r="T489">
        <v>1</v>
      </c>
      <c r="U489" s="19">
        <v>1687</v>
      </c>
      <c r="V489">
        <v>0</v>
      </c>
      <c r="W489" s="19">
        <v>0</v>
      </c>
      <c r="X489">
        <v>0</v>
      </c>
      <c r="Y489" s="19">
        <v>0</v>
      </c>
      <c r="Z489">
        <v>0</v>
      </c>
      <c r="AA489" s="19">
        <v>0</v>
      </c>
      <c r="AB489">
        <v>1</v>
      </c>
      <c r="AC489" s="19">
        <v>920</v>
      </c>
      <c r="AD489">
        <v>0</v>
      </c>
      <c r="AE489" s="19">
        <v>0</v>
      </c>
      <c r="AF489">
        <v>0</v>
      </c>
      <c r="AG489" s="19">
        <v>0</v>
      </c>
      <c r="AH489">
        <v>1</v>
      </c>
      <c r="AI489" s="19">
        <v>215</v>
      </c>
      <c r="AJ489">
        <v>1</v>
      </c>
      <c r="AK489" s="19">
        <v>107</v>
      </c>
      <c r="AL489">
        <v>1</v>
      </c>
      <c r="AM489" s="19">
        <v>215</v>
      </c>
      <c r="AN489">
        <v>1</v>
      </c>
      <c r="AO489" s="19">
        <v>230</v>
      </c>
      <c r="AP489">
        <v>0</v>
      </c>
      <c r="AQ489" s="19">
        <v>0</v>
      </c>
    </row>
    <row r="490" spans="1:43" x14ac:dyDescent="0.35">
      <c r="A490" s="18">
        <v>45778</v>
      </c>
      <c r="B490" t="s">
        <v>58</v>
      </c>
      <c r="C490" t="s">
        <v>53</v>
      </c>
      <c r="D490">
        <v>7</v>
      </c>
      <c r="E490">
        <v>2</v>
      </c>
      <c r="F490">
        <v>5</v>
      </c>
      <c r="G490" s="19">
        <v>3833</v>
      </c>
      <c r="H490" s="19">
        <v>2660</v>
      </c>
      <c r="I490" s="19">
        <v>1173</v>
      </c>
      <c r="J490" s="19">
        <v>248</v>
      </c>
      <c r="K490" s="19">
        <v>103</v>
      </c>
      <c r="L490" s="19">
        <v>806</v>
      </c>
      <c r="M490" s="19">
        <v>85</v>
      </c>
      <c r="N490" s="19">
        <v>57</v>
      </c>
      <c r="O490" s="19">
        <f t="shared" si="14"/>
        <v>1299</v>
      </c>
      <c r="P490" s="19">
        <f t="shared" si="15"/>
        <v>2534</v>
      </c>
      <c r="Q490" t="s">
        <v>23</v>
      </c>
      <c r="R490" t="s">
        <v>64</v>
      </c>
      <c r="T490">
        <v>1</v>
      </c>
      <c r="U490" s="19">
        <v>1721</v>
      </c>
      <c r="V490">
        <v>0</v>
      </c>
      <c r="W490" s="19">
        <v>0</v>
      </c>
      <c r="X490">
        <v>0</v>
      </c>
      <c r="Y490" s="19">
        <v>0</v>
      </c>
      <c r="Z490">
        <v>0</v>
      </c>
      <c r="AA490" s="19">
        <v>0</v>
      </c>
      <c r="AB490">
        <v>1</v>
      </c>
      <c r="AC490" s="19">
        <v>939</v>
      </c>
      <c r="AD490">
        <v>0</v>
      </c>
      <c r="AE490" s="19">
        <v>0</v>
      </c>
      <c r="AF490">
        <v>0</v>
      </c>
      <c r="AG490" s="19">
        <v>0</v>
      </c>
      <c r="AH490">
        <v>1</v>
      </c>
      <c r="AI490" s="19">
        <v>219</v>
      </c>
      <c r="AJ490">
        <v>1</v>
      </c>
      <c r="AK490" s="19">
        <v>110</v>
      </c>
      <c r="AL490">
        <v>1</v>
      </c>
      <c r="AM490" s="19">
        <v>219</v>
      </c>
      <c r="AN490">
        <v>1</v>
      </c>
      <c r="AO490" s="19">
        <v>235</v>
      </c>
      <c r="AP490">
        <v>1</v>
      </c>
      <c r="AQ490" s="19">
        <v>391</v>
      </c>
    </row>
    <row r="491" spans="1:43" x14ac:dyDescent="0.35">
      <c r="A491" s="18">
        <v>45779</v>
      </c>
      <c r="B491" t="s">
        <v>59</v>
      </c>
      <c r="C491" t="s">
        <v>53</v>
      </c>
      <c r="D491">
        <v>8</v>
      </c>
      <c r="E491">
        <v>3</v>
      </c>
      <c r="F491">
        <v>5</v>
      </c>
      <c r="G491" s="19">
        <v>4025</v>
      </c>
      <c r="H491" s="19">
        <v>2859</v>
      </c>
      <c r="I491" s="19">
        <v>1166</v>
      </c>
      <c r="J491" s="19">
        <v>248</v>
      </c>
      <c r="K491" s="19">
        <v>103</v>
      </c>
      <c r="L491" s="19">
        <v>806</v>
      </c>
      <c r="M491" s="19">
        <v>89</v>
      </c>
      <c r="N491" s="19">
        <v>65</v>
      </c>
      <c r="O491" s="19">
        <f t="shared" si="14"/>
        <v>1311</v>
      </c>
      <c r="P491" s="19">
        <f t="shared" si="15"/>
        <v>2714</v>
      </c>
      <c r="Q491" t="s">
        <v>23</v>
      </c>
      <c r="R491" t="s">
        <v>64</v>
      </c>
      <c r="T491">
        <v>1</v>
      </c>
      <c r="U491" s="19">
        <v>1709</v>
      </c>
      <c r="V491">
        <v>0</v>
      </c>
      <c r="W491" s="19">
        <v>0</v>
      </c>
      <c r="X491">
        <v>0</v>
      </c>
      <c r="Y491" s="19">
        <v>0</v>
      </c>
      <c r="Z491">
        <v>0</v>
      </c>
      <c r="AA491" s="19">
        <v>0</v>
      </c>
      <c r="AB491">
        <v>1</v>
      </c>
      <c r="AC491" s="19">
        <v>932</v>
      </c>
      <c r="AD491">
        <v>0</v>
      </c>
      <c r="AE491" s="19">
        <v>0</v>
      </c>
      <c r="AF491">
        <v>0</v>
      </c>
      <c r="AG491" s="19">
        <v>0</v>
      </c>
      <c r="AH491">
        <v>2</v>
      </c>
      <c r="AI491" s="19">
        <v>435</v>
      </c>
      <c r="AJ491">
        <v>1</v>
      </c>
      <c r="AK491" s="19">
        <v>109</v>
      </c>
      <c r="AL491">
        <v>1</v>
      </c>
      <c r="AM491" s="19">
        <v>218</v>
      </c>
      <c r="AN491">
        <v>1</v>
      </c>
      <c r="AO491" s="19">
        <v>233</v>
      </c>
      <c r="AP491">
        <v>1</v>
      </c>
      <c r="AQ491" s="19">
        <v>389</v>
      </c>
    </row>
    <row r="492" spans="1:43" x14ac:dyDescent="0.35">
      <c r="A492" s="18">
        <v>45780</v>
      </c>
      <c r="B492" t="s">
        <v>60</v>
      </c>
      <c r="C492" t="s">
        <v>61</v>
      </c>
      <c r="D492">
        <v>10</v>
      </c>
      <c r="E492">
        <v>4</v>
      </c>
      <c r="F492">
        <v>6</v>
      </c>
      <c r="G492" s="19">
        <v>4983</v>
      </c>
      <c r="H492" s="19">
        <v>2997</v>
      </c>
      <c r="I492" s="19">
        <v>1986</v>
      </c>
      <c r="J492" s="19">
        <v>248</v>
      </c>
      <c r="K492" s="19">
        <v>103</v>
      </c>
      <c r="L492" s="19">
        <v>806</v>
      </c>
      <c r="M492" s="19">
        <v>110</v>
      </c>
      <c r="N492" s="19">
        <v>81</v>
      </c>
      <c r="O492" s="19">
        <f t="shared" si="14"/>
        <v>1348</v>
      </c>
      <c r="P492" s="19">
        <f t="shared" si="15"/>
        <v>3635</v>
      </c>
      <c r="Q492" t="s">
        <v>23</v>
      </c>
      <c r="R492" t="s">
        <v>64</v>
      </c>
      <c r="T492">
        <v>1</v>
      </c>
      <c r="U492" s="19">
        <v>1249</v>
      </c>
      <c r="V492">
        <v>0</v>
      </c>
      <c r="W492" s="19">
        <v>0</v>
      </c>
      <c r="X492">
        <v>0</v>
      </c>
      <c r="Y492" s="19">
        <v>0</v>
      </c>
      <c r="Z492">
        <v>1</v>
      </c>
      <c r="AA492" s="19">
        <v>908</v>
      </c>
      <c r="AB492">
        <v>1</v>
      </c>
      <c r="AC492" s="19">
        <v>681</v>
      </c>
      <c r="AD492">
        <v>1</v>
      </c>
      <c r="AE492" s="19">
        <v>1135</v>
      </c>
      <c r="AF492">
        <v>0</v>
      </c>
      <c r="AG492" s="19">
        <v>0</v>
      </c>
      <c r="AH492">
        <v>2</v>
      </c>
      <c r="AI492" s="19">
        <v>318</v>
      </c>
      <c r="AJ492">
        <v>1</v>
      </c>
      <c r="AK492" s="19">
        <v>79</v>
      </c>
      <c r="AL492">
        <v>1</v>
      </c>
      <c r="AM492" s="19">
        <v>159</v>
      </c>
      <c r="AN492">
        <v>1</v>
      </c>
      <c r="AO492" s="19">
        <v>170</v>
      </c>
      <c r="AP492">
        <v>1</v>
      </c>
      <c r="AQ492" s="19">
        <v>284</v>
      </c>
    </row>
    <row r="493" spans="1:43" x14ac:dyDescent="0.35">
      <c r="A493" s="18">
        <v>45781</v>
      </c>
      <c r="B493" t="s">
        <v>62</v>
      </c>
      <c r="C493" t="s">
        <v>61</v>
      </c>
      <c r="D493">
        <v>9</v>
      </c>
      <c r="E493">
        <v>4</v>
      </c>
      <c r="F493">
        <v>5</v>
      </c>
      <c r="G493" s="19">
        <v>4600</v>
      </c>
      <c r="H493" s="19">
        <v>3582</v>
      </c>
      <c r="I493" s="19">
        <v>1018</v>
      </c>
      <c r="J493" s="19">
        <v>248</v>
      </c>
      <c r="K493" s="19">
        <v>103</v>
      </c>
      <c r="L493" s="19">
        <v>806</v>
      </c>
      <c r="M493" s="19">
        <v>101</v>
      </c>
      <c r="N493" s="19">
        <v>73</v>
      </c>
      <c r="O493" s="19">
        <f t="shared" si="14"/>
        <v>1331</v>
      </c>
      <c r="P493" s="19">
        <f t="shared" si="15"/>
        <v>3269</v>
      </c>
      <c r="Q493" t="s">
        <v>23</v>
      </c>
      <c r="R493" t="s">
        <v>64</v>
      </c>
      <c r="T493">
        <v>1</v>
      </c>
      <c r="U493" s="19">
        <v>1493</v>
      </c>
      <c r="V493">
        <v>0</v>
      </c>
      <c r="W493" s="19">
        <v>0</v>
      </c>
      <c r="X493">
        <v>0</v>
      </c>
      <c r="Y493" s="19">
        <v>0</v>
      </c>
      <c r="Z493">
        <v>1</v>
      </c>
      <c r="AA493" s="19">
        <v>1086</v>
      </c>
      <c r="AB493">
        <v>1</v>
      </c>
      <c r="AC493" s="19">
        <v>814</v>
      </c>
      <c r="AD493">
        <v>0</v>
      </c>
      <c r="AE493" s="19">
        <v>0</v>
      </c>
      <c r="AF493">
        <v>0</v>
      </c>
      <c r="AG493" s="19">
        <v>0</v>
      </c>
      <c r="AH493">
        <v>2</v>
      </c>
      <c r="AI493" s="19">
        <v>380</v>
      </c>
      <c r="AJ493">
        <v>1</v>
      </c>
      <c r="AK493" s="19">
        <v>95</v>
      </c>
      <c r="AL493">
        <v>1</v>
      </c>
      <c r="AM493" s="19">
        <v>190</v>
      </c>
      <c r="AN493">
        <v>1</v>
      </c>
      <c r="AO493" s="19">
        <v>204</v>
      </c>
      <c r="AP493">
        <v>1</v>
      </c>
      <c r="AQ493" s="19">
        <v>339</v>
      </c>
    </row>
    <row r="494" spans="1:43" x14ac:dyDescent="0.35">
      <c r="A494" s="18">
        <v>45782</v>
      </c>
      <c r="B494" t="s">
        <v>52</v>
      </c>
      <c r="C494" t="s">
        <v>53</v>
      </c>
      <c r="D494">
        <v>6</v>
      </c>
      <c r="E494">
        <v>2</v>
      </c>
      <c r="F494">
        <v>4</v>
      </c>
      <c r="G494" s="19">
        <v>3258</v>
      </c>
      <c r="H494" s="19">
        <v>2518</v>
      </c>
      <c r="I494" s="19">
        <v>740</v>
      </c>
      <c r="J494" s="19">
        <v>248</v>
      </c>
      <c r="K494" s="19">
        <v>103</v>
      </c>
      <c r="L494" s="19">
        <v>806</v>
      </c>
      <c r="M494" s="19">
        <v>72</v>
      </c>
      <c r="N494" s="19">
        <v>49</v>
      </c>
      <c r="O494" s="19">
        <f t="shared" si="14"/>
        <v>1278</v>
      </c>
      <c r="P494" s="19">
        <f t="shared" si="15"/>
        <v>1980</v>
      </c>
      <c r="Q494" t="s">
        <v>23</v>
      </c>
      <c r="R494" t="s">
        <v>64</v>
      </c>
      <c r="T494">
        <v>1</v>
      </c>
      <c r="U494" s="19">
        <v>1629</v>
      </c>
      <c r="V494">
        <v>0</v>
      </c>
      <c r="W494" s="19">
        <v>0</v>
      </c>
      <c r="X494">
        <v>0</v>
      </c>
      <c r="Y494" s="19">
        <v>0</v>
      </c>
      <c r="Z494">
        <v>0</v>
      </c>
      <c r="AA494" s="19">
        <v>0</v>
      </c>
      <c r="AB494">
        <v>1</v>
      </c>
      <c r="AC494" s="19">
        <v>889</v>
      </c>
      <c r="AD494">
        <v>0</v>
      </c>
      <c r="AE494" s="19">
        <v>0</v>
      </c>
      <c r="AF494">
        <v>0</v>
      </c>
      <c r="AG494" s="19">
        <v>0</v>
      </c>
      <c r="AH494">
        <v>1</v>
      </c>
      <c r="AI494" s="19">
        <v>207</v>
      </c>
      <c r="AJ494">
        <v>1</v>
      </c>
      <c r="AK494" s="19">
        <v>104</v>
      </c>
      <c r="AL494">
        <v>1</v>
      </c>
      <c r="AM494" s="19">
        <v>207</v>
      </c>
      <c r="AN494">
        <v>1</v>
      </c>
      <c r="AO494" s="19">
        <v>222</v>
      </c>
      <c r="AP494">
        <v>0</v>
      </c>
      <c r="AQ494" s="19">
        <v>0</v>
      </c>
    </row>
    <row r="495" spans="1:43" x14ac:dyDescent="0.35">
      <c r="A495" s="18">
        <v>45783</v>
      </c>
      <c r="B495" t="s">
        <v>56</v>
      </c>
      <c r="C495" t="s">
        <v>53</v>
      </c>
      <c r="D495">
        <v>7</v>
      </c>
      <c r="E495">
        <v>3</v>
      </c>
      <c r="F495">
        <v>4</v>
      </c>
      <c r="G495" s="19">
        <v>3450</v>
      </c>
      <c r="H495" s="19">
        <v>2875</v>
      </c>
      <c r="I495" s="19">
        <v>575</v>
      </c>
      <c r="J495" s="19">
        <v>248</v>
      </c>
      <c r="K495" s="19">
        <v>103</v>
      </c>
      <c r="L495" s="19">
        <v>806</v>
      </c>
      <c r="M495" s="19">
        <v>76</v>
      </c>
      <c r="N495" s="19">
        <v>57</v>
      </c>
      <c r="O495" s="19">
        <f t="shared" si="14"/>
        <v>1290</v>
      </c>
      <c r="P495" s="19">
        <f t="shared" si="15"/>
        <v>2160</v>
      </c>
      <c r="Q495" t="s">
        <v>23</v>
      </c>
      <c r="R495" t="s">
        <v>64</v>
      </c>
      <c r="T495">
        <v>1</v>
      </c>
      <c r="U495" s="19">
        <v>1265</v>
      </c>
      <c r="V495">
        <v>0</v>
      </c>
      <c r="W495" s="19">
        <v>0</v>
      </c>
      <c r="X495">
        <v>0</v>
      </c>
      <c r="Y495" s="19">
        <v>0</v>
      </c>
      <c r="Z495">
        <v>1</v>
      </c>
      <c r="AA495" s="19">
        <v>920</v>
      </c>
      <c r="AB495">
        <v>1</v>
      </c>
      <c r="AC495" s="19">
        <v>690</v>
      </c>
      <c r="AD495">
        <v>0</v>
      </c>
      <c r="AE495" s="19">
        <v>0</v>
      </c>
      <c r="AF495">
        <v>0</v>
      </c>
      <c r="AG495" s="19">
        <v>0</v>
      </c>
      <c r="AH495">
        <v>1</v>
      </c>
      <c r="AI495" s="19">
        <v>161</v>
      </c>
      <c r="AJ495">
        <v>1</v>
      </c>
      <c r="AK495" s="19">
        <v>80</v>
      </c>
      <c r="AL495">
        <v>1</v>
      </c>
      <c r="AM495" s="19">
        <v>161</v>
      </c>
      <c r="AN495">
        <v>1</v>
      </c>
      <c r="AO495" s="19">
        <v>172</v>
      </c>
      <c r="AP495">
        <v>0</v>
      </c>
      <c r="AQ495" s="19">
        <v>0</v>
      </c>
    </row>
    <row r="496" spans="1:43" x14ac:dyDescent="0.35">
      <c r="A496" s="18">
        <v>45784</v>
      </c>
      <c r="B496" t="s">
        <v>57</v>
      </c>
      <c r="C496" t="s">
        <v>53</v>
      </c>
      <c r="D496">
        <v>7</v>
      </c>
      <c r="E496">
        <v>2</v>
      </c>
      <c r="F496">
        <v>5</v>
      </c>
      <c r="G496" s="19">
        <v>3642</v>
      </c>
      <c r="H496" s="19">
        <v>2527</v>
      </c>
      <c r="I496" s="19">
        <v>1115</v>
      </c>
      <c r="J496" s="19">
        <v>248</v>
      </c>
      <c r="K496" s="19">
        <v>103</v>
      </c>
      <c r="L496" s="19">
        <v>806</v>
      </c>
      <c r="M496" s="19">
        <v>80</v>
      </c>
      <c r="N496" s="19">
        <v>57</v>
      </c>
      <c r="O496" s="19">
        <f t="shared" si="14"/>
        <v>1294</v>
      </c>
      <c r="P496" s="19">
        <f t="shared" si="15"/>
        <v>2348</v>
      </c>
      <c r="Q496" t="s">
        <v>23</v>
      </c>
      <c r="R496" t="s">
        <v>64</v>
      </c>
      <c r="T496">
        <v>1</v>
      </c>
      <c r="U496" s="19">
        <v>1635</v>
      </c>
      <c r="V496">
        <v>0</v>
      </c>
      <c r="W496" s="19">
        <v>0</v>
      </c>
      <c r="X496">
        <v>0</v>
      </c>
      <c r="Y496" s="19">
        <v>0</v>
      </c>
      <c r="Z496">
        <v>0</v>
      </c>
      <c r="AA496" s="19">
        <v>0</v>
      </c>
      <c r="AB496">
        <v>1</v>
      </c>
      <c r="AC496" s="19">
        <v>892</v>
      </c>
      <c r="AD496">
        <v>0</v>
      </c>
      <c r="AE496" s="19">
        <v>0</v>
      </c>
      <c r="AF496">
        <v>0</v>
      </c>
      <c r="AG496" s="19">
        <v>0</v>
      </c>
      <c r="AH496">
        <v>1</v>
      </c>
      <c r="AI496" s="19">
        <v>208</v>
      </c>
      <c r="AJ496">
        <v>1</v>
      </c>
      <c r="AK496" s="19">
        <v>104</v>
      </c>
      <c r="AL496">
        <v>1</v>
      </c>
      <c r="AM496" s="19">
        <v>208</v>
      </c>
      <c r="AN496">
        <v>1</v>
      </c>
      <c r="AO496" s="19">
        <v>223</v>
      </c>
      <c r="AP496">
        <v>1</v>
      </c>
      <c r="AQ496" s="19">
        <v>372</v>
      </c>
    </row>
    <row r="497" spans="1:43" x14ac:dyDescent="0.35">
      <c r="A497" s="18">
        <v>45785</v>
      </c>
      <c r="B497" t="s">
        <v>58</v>
      </c>
      <c r="C497" t="s">
        <v>53</v>
      </c>
      <c r="D497">
        <v>7</v>
      </c>
      <c r="E497">
        <v>2</v>
      </c>
      <c r="F497">
        <v>5</v>
      </c>
      <c r="G497" s="19">
        <v>3833</v>
      </c>
      <c r="H497" s="19">
        <v>2660</v>
      </c>
      <c r="I497" s="19">
        <v>1173</v>
      </c>
      <c r="J497" s="19">
        <v>248</v>
      </c>
      <c r="K497" s="19">
        <v>103</v>
      </c>
      <c r="L497" s="19">
        <v>806</v>
      </c>
      <c r="M497" s="19">
        <v>85</v>
      </c>
      <c r="N497" s="19">
        <v>57</v>
      </c>
      <c r="O497" s="19">
        <f t="shared" si="14"/>
        <v>1299</v>
      </c>
      <c r="P497" s="19">
        <f t="shared" si="15"/>
        <v>2534</v>
      </c>
      <c r="Q497" t="s">
        <v>23</v>
      </c>
      <c r="R497" t="s">
        <v>64</v>
      </c>
      <c r="T497">
        <v>1</v>
      </c>
      <c r="U497" s="19">
        <v>1721</v>
      </c>
      <c r="V497">
        <v>0</v>
      </c>
      <c r="W497" s="19">
        <v>0</v>
      </c>
      <c r="X497">
        <v>0</v>
      </c>
      <c r="Y497" s="19">
        <v>0</v>
      </c>
      <c r="Z497">
        <v>0</v>
      </c>
      <c r="AA497" s="19">
        <v>0</v>
      </c>
      <c r="AB497">
        <v>1</v>
      </c>
      <c r="AC497" s="19">
        <v>939</v>
      </c>
      <c r="AD497">
        <v>0</v>
      </c>
      <c r="AE497" s="19">
        <v>0</v>
      </c>
      <c r="AF497">
        <v>0</v>
      </c>
      <c r="AG497" s="19">
        <v>0</v>
      </c>
      <c r="AH497">
        <v>1</v>
      </c>
      <c r="AI497" s="19">
        <v>219</v>
      </c>
      <c r="AJ497">
        <v>1</v>
      </c>
      <c r="AK497" s="19">
        <v>110</v>
      </c>
      <c r="AL497">
        <v>1</v>
      </c>
      <c r="AM497" s="19">
        <v>219</v>
      </c>
      <c r="AN497">
        <v>1</v>
      </c>
      <c r="AO497" s="19">
        <v>235</v>
      </c>
      <c r="AP497">
        <v>1</v>
      </c>
      <c r="AQ497" s="19">
        <v>391</v>
      </c>
    </row>
    <row r="498" spans="1:43" x14ac:dyDescent="0.35">
      <c r="A498" s="18">
        <v>45786</v>
      </c>
      <c r="B498" t="s">
        <v>59</v>
      </c>
      <c r="C498" t="s">
        <v>53</v>
      </c>
      <c r="D498">
        <v>8</v>
      </c>
      <c r="E498">
        <v>3</v>
      </c>
      <c r="F498">
        <v>5</v>
      </c>
      <c r="G498" s="19">
        <v>4025</v>
      </c>
      <c r="H498" s="19">
        <v>3096</v>
      </c>
      <c r="I498" s="19">
        <v>929</v>
      </c>
      <c r="J498" s="19">
        <v>248</v>
      </c>
      <c r="K498" s="19">
        <v>103</v>
      </c>
      <c r="L498" s="19">
        <v>806</v>
      </c>
      <c r="M498" s="19">
        <v>89</v>
      </c>
      <c r="N498" s="19">
        <v>65</v>
      </c>
      <c r="O498" s="19">
        <f t="shared" si="14"/>
        <v>1311</v>
      </c>
      <c r="P498" s="19">
        <f t="shared" si="15"/>
        <v>2714</v>
      </c>
      <c r="Q498" t="s">
        <v>23</v>
      </c>
      <c r="R498" t="s">
        <v>64</v>
      </c>
      <c r="T498">
        <v>1</v>
      </c>
      <c r="U498" s="19">
        <v>1362</v>
      </c>
      <c r="V498">
        <v>0</v>
      </c>
      <c r="W498" s="19">
        <v>0</v>
      </c>
      <c r="X498">
        <v>0</v>
      </c>
      <c r="Y498" s="19">
        <v>0</v>
      </c>
      <c r="Z498">
        <v>1</v>
      </c>
      <c r="AA498" s="19">
        <v>991</v>
      </c>
      <c r="AB498">
        <v>1</v>
      </c>
      <c r="AC498" s="19">
        <v>743</v>
      </c>
      <c r="AD498">
        <v>0</v>
      </c>
      <c r="AE498" s="19">
        <v>0</v>
      </c>
      <c r="AF498">
        <v>0</v>
      </c>
      <c r="AG498" s="19">
        <v>0</v>
      </c>
      <c r="AH498">
        <v>1</v>
      </c>
      <c r="AI498" s="19">
        <v>173</v>
      </c>
      <c r="AJ498">
        <v>1</v>
      </c>
      <c r="AK498" s="19">
        <v>87</v>
      </c>
      <c r="AL498">
        <v>1</v>
      </c>
      <c r="AM498" s="19">
        <v>173</v>
      </c>
      <c r="AN498">
        <v>1</v>
      </c>
      <c r="AO498" s="19">
        <v>186</v>
      </c>
      <c r="AP498">
        <v>1</v>
      </c>
      <c r="AQ498" s="19">
        <v>310</v>
      </c>
    </row>
    <row r="499" spans="1:43" x14ac:dyDescent="0.35">
      <c r="A499" s="18">
        <v>45787</v>
      </c>
      <c r="B499" t="s">
        <v>60</v>
      </c>
      <c r="C499" t="s">
        <v>61</v>
      </c>
      <c r="D499">
        <v>10</v>
      </c>
      <c r="E499">
        <v>5</v>
      </c>
      <c r="F499">
        <v>5</v>
      </c>
      <c r="G499" s="19">
        <v>4983</v>
      </c>
      <c r="H499" s="19">
        <v>4256</v>
      </c>
      <c r="I499" s="19">
        <v>727</v>
      </c>
      <c r="J499" s="19">
        <v>248</v>
      </c>
      <c r="K499" s="19">
        <v>103</v>
      </c>
      <c r="L499" s="19">
        <v>806</v>
      </c>
      <c r="M499" s="19">
        <v>110</v>
      </c>
      <c r="N499" s="19">
        <v>81</v>
      </c>
      <c r="O499" s="19">
        <f t="shared" si="14"/>
        <v>1348</v>
      </c>
      <c r="P499" s="19">
        <f t="shared" si="15"/>
        <v>3635</v>
      </c>
      <c r="Q499" t="s">
        <v>25</v>
      </c>
      <c r="R499" t="s">
        <v>64</v>
      </c>
      <c r="T499">
        <v>1</v>
      </c>
      <c r="U499" s="19">
        <v>1066</v>
      </c>
      <c r="V499">
        <v>0</v>
      </c>
      <c r="W499" s="19">
        <v>0</v>
      </c>
      <c r="X499">
        <v>1</v>
      </c>
      <c r="Y499" s="19">
        <v>1697</v>
      </c>
      <c r="Z499">
        <v>1</v>
      </c>
      <c r="AA499" s="19">
        <v>776</v>
      </c>
      <c r="AB499">
        <v>1</v>
      </c>
      <c r="AC499" s="19">
        <v>582</v>
      </c>
      <c r="AD499">
        <v>0</v>
      </c>
      <c r="AE499" s="19">
        <v>0</v>
      </c>
      <c r="AF499">
        <v>0</v>
      </c>
      <c r="AG499" s="19">
        <v>0</v>
      </c>
      <c r="AH499">
        <v>2</v>
      </c>
      <c r="AI499" s="19">
        <v>271</v>
      </c>
      <c r="AJ499">
        <v>1</v>
      </c>
      <c r="AK499" s="19">
        <v>68</v>
      </c>
      <c r="AL499">
        <v>1</v>
      </c>
      <c r="AM499" s="19">
        <v>136</v>
      </c>
      <c r="AN499">
        <v>1</v>
      </c>
      <c r="AO499" s="19">
        <v>145</v>
      </c>
      <c r="AP499">
        <v>1</v>
      </c>
      <c r="AQ499" s="19">
        <v>242</v>
      </c>
    </row>
    <row r="500" spans="1:43" x14ac:dyDescent="0.35">
      <c r="A500" s="18">
        <v>45788</v>
      </c>
      <c r="B500" t="s">
        <v>62</v>
      </c>
      <c r="C500" t="s">
        <v>61</v>
      </c>
      <c r="D500">
        <v>9</v>
      </c>
      <c r="E500">
        <v>4</v>
      </c>
      <c r="F500">
        <v>5</v>
      </c>
      <c r="G500" s="19">
        <v>4600</v>
      </c>
      <c r="H500" s="19">
        <v>3582</v>
      </c>
      <c r="I500" s="19">
        <v>1018</v>
      </c>
      <c r="J500" s="19">
        <v>248</v>
      </c>
      <c r="K500" s="19">
        <v>103</v>
      </c>
      <c r="L500" s="19">
        <v>806</v>
      </c>
      <c r="M500" s="19">
        <v>101</v>
      </c>
      <c r="N500" s="19">
        <v>73</v>
      </c>
      <c r="O500" s="19">
        <f t="shared" si="14"/>
        <v>1331</v>
      </c>
      <c r="P500" s="19">
        <f t="shared" si="15"/>
        <v>3269</v>
      </c>
      <c r="Q500" t="s">
        <v>23</v>
      </c>
      <c r="R500" t="s">
        <v>64</v>
      </c>
      <c r="T500">
        <v>1</v>
      </c>
      <c r="U500" s="19">
        <v>1493</v>
      </c>
      <c r="V500">
        <v>0</v>
      </c>
      <c r="W500" s="19">
        <v>0</v>
      </c>
      <c r="X500">
        <v>0</v>
      </c>
      <c r="Y500" s="19">
        <v>0</v>
      </c>
      <c r="Z500">
        <v>1</v>
      </c>
      <c r="AA500" s="19">
        <v>1086</v>
      </c>
      <c r="AB500">
        <v>1</v>
      </c>
      <c r="AC500" s="19">
        <v>814</v>
      </c>
      <c r="AD500">
        <v>0</v>
      </c>
      <c r="AE500" s="19">
        <v>0</v>
      </c>
      <c r="AF500">
        <v>0</v>
      </c>
      <c r="AG500" s="19">
        <v>0</v>
      </c>
      <c r="AH500">
        <v>2</v>
      </c>
      <c r="AI500" s="19">
        <v>380</v>
      </c>
      <c r="AJ500">
        <v>1</v>
      </c>
      <c r="AK500" s="19">
        <v>95</v>
      </c>
      <c r="AL500">
        <v>1</v>
      </c>
      <c r="AM500" s="19">
        <v>190</v>
      </c>
      <c r="AN500">
        <v>1</v>
      </c>
      <c r="AO500" s="19">
        <v>204</v>
      </c>
      <c r="AP500">
        <v>1</v>
      </c>
      <c r="AQ500" s="19">
        <v>339</v>
      </c>
    </row>
    <row r="501" spans="1:43" x14ac:dyDescent="0.35">
      <c r="A501" s="18">
        <v>45789</v>
      </c>
      <c r="B501" t="s">
        <v>52</v>
      </c>
      <c r="C501" t="s">
        <v>53</v>
      </c>
      <c r="D501">
        <v>6</v>
      </c>
      <c r="E501">
        <v>2</v>
      </c>
      <c r="F501">
        <v>4</v>
      </c>
      <c r="G501" s="19">
        <v>3258</v>
      </c>
      <c r="H501" s="19">
        <v>2518</v>
      </c>
      <c r="I501" s="19">
        <v>740</v>
      </c>
      <c r="J501" s="19">
        <v>248</v>
      </c>
      <c r="K501" s="19">
        <v>103</v>
      </c>
      <c r="L501" s="19">
        <v>806</v>
      </c>
      <c r="M501" s="19">
        <v>72</v>
      </c>
      <c r="N501" s="19">
        <v>49</v>
      </c>
      <c r="O501" s="19">
        <f t="shared" si="14"/>
        <v>1278</v>
      </c>
      <c r="P501" s="19">
        <f t="shared" si="15"/>
        <v>1980</v>
      </c>
      <c r="Q501" t="s">
        <v>23</v>
      </c>
      <c r="R501" t="s">
        <v>64</v>
      </c>
      <c r="T501">
        <v>1</v>
      </c>
      <c r="U501" s="19">
        <v>1629</v>
      </c>
      <c r="V501">
        <v>0</v>
      </c>
      <c r="W501" s="19">
        <v>0</v>
      </c>
      <c r="X501">
        <v>0</v>
      </c>
      <c r="Y501" s="19">
        <v>0</v>
      </c>
      <c r="Z501">
        <v>0</v>
      </c>
      <c r="AA501" s="19">
        <v>0</v>
      </c>
      <c r="AB501">
        <v>1</v>
      </c>
      <c r="AC501" s="19">
        <v>889</v>
      </c>
      <c r="AD501">
        <v>0</v>
      </c>
      <c r="AE501" s="19">
        <v>0</v>
      </c>
      <c r="AF501">
        <v>0</v>
      </c>
      <c r="AG501" s="19">
        <v>0</v>
      </c>
      <c r="AH501">
        <v>1</v>
      </c>
      <c r="AI501" s="19">
        <v>207</v>
      </c>
      <c r="AJ501">
        <v>1</v>
      </c>
      <c r="AK501" s="19">
        <v>104</v>
      </c>
      <c r="AL501">
        <v>1</v>
      </c>
      <c r="AM501" s="19">
        <v>207</v>
      </c>
      <c r="AN501">
        <v>1</v>
      </c>
      <c r="AO501" s="19">
        <v>222</v>
      </c>
      <c r="AP501">
        <v>0</v>
      </c>
      <c r="AQ501" s="19">
        <v>0</v>
      </c>
    </row>
    <row r="502" spans="1:43" x14ac:dyDescent="0.35">
      <c r="A502" s="18">
        <v>45790</v>
      </c>
      <c r="B502" t="s">
        <v>56</v>
      </c>
      <c r="C502" t="s">
        <v>53</v>
      </c>
      <c r="D502">
        <v>7</v>
      </c>
      <c r="E502">
        <v>3</v>
      </c>
      <c r="F502">
        <v>4</v>
      </c>
      <c r="G502" s="19">
        <v>3450</v>
      </c>
      <c r="H502" s="19">
        <v>2713</v>
      </c>
      <c r="I502" s="19">
        <v>737</v>
      </c>
      <c r="J502" s="19">
        <v>248</v>
      </c>
      <c r="K502" s="19">
        <v>103</v>
      </c>
      <c r="L502" s="19">
        <v>806</v>
      </c>
      <c r="M502" s="19">
        <v>76</v>
      </c>
      <c r="N502" s="19">
        <v>57</v>
      </c>
      <c r="O502" s="19">
        <f t="shared" si="14"/>
        <v>1290</v>
      </c>
      <c r="P502" s="19">
        <f t="shared" si="15"/>
        <v>2160</v>
      </c>
      <c r="Q502" t="s">
        <v>23</v>
      </c>
      <c r="R502" t="s">
        <v>64</v>
      </c>
      <c r="T502">
        <v>1</v>
      </c>
      <c r="U502" s="19">
        <v>1622</v>
      </c>
      <c r="V502">
        <v>0</v>
      </c>
      <c r="W502" s="19">
        <v>0</v>
      </c>
      <c r="X502">
        <v>0</v>
      </c>
      <c r="Y502" s="19">
        <v>0</v>
      </c>
      <c r="Z502">
        <v>0</v>
      </c>
      <c r="AA502" s="19">
        <v>0</v>
      </c>
      <c r="AB502">
        <v>1</v>
      </c>
      <c r="AC502" s="19">
        <v>885</v>
      </c>
      <c r="AD502">
        <v>0</v>
      </c>
      <c r="AE502" s="19">
        <v>0</v>
      </c>
      <c r="AF502">
        <v>0</v>
      </c>
      <c r="AG502" s="19">
        <v>0</v>
      </c>
      <c r="AH502">
        <v>2</v>
      </c>
      <c r="AI502" s="19">
        <v>413</v>
      </c>
      <c r="AJ502">
        <v>1</v>
      </c>
      <c r="AK502" s="19">
        <v>103</v>
      </c>
      <c r="AL502">
        <v>1</v>
      </c>
      <c r="AM502" s="19">
        <v>206</v>
      </c>
      <c r="AN502">
        <v>1</v>
      </c>
      <c r="AO502" s="19">
        <v>221</v>
      </c>
      <c r="AP502">
        <v>0</v>
      </c>
      <c r="AQ502" s="19">
        <v>0</v>
      </c>
    </row>
    <row r="503" spans="1:43" x14ac:dyDescent="0.35">
      <c r="A503" s="18">
        <v>45791</v>
      </c>
      <c r="B503" t="s">
        <v>57</v>
      </c>
      <c r="C503" t="s">
        <v>53</v>
      </c>
      <c r="D503">
        <v>7</v>
      </c>
      <c r="E503">
        <v>2</v>
      </c>
      <c r="F503">
        <v>5</v>
      </c>
      <c r="G503" s="19">
        <v>3642</v>
      </c>
      <c r="H503" s="19">
        <v>2527</v>
      </c>
      <c r="I503" s="19">
        <v>1115</v>
      </c>
      <c r="J503" s="19">
        <v>248</v>
      </c>
      <c r="K503" s="19">
        <v>103</v>
      </c>
      <c r="L503" s="19">
        <v>806</v>
      </c>
      <c r="M503" s="19">
        <v>80</v>
      </c>
      <c r="N503" s="19">
        <v>57</v>
      </c>
      <c r="O503" s="19">
        <f t="shared" si="14"/>
        <v>1294</v>
      </c>
      <c r="P503" s="19">
        <f t="shared" si="15"/>
        <v>2348</v>
      </c>
      <c r="Q503" t="s">
        <v>23</v>
      </c>
      <c r="R503" t="s">
        <v>64</v>
      </c>
      <c r="T503">
        <v>1</v>
      </c>
      <c r="U503" s="19">
        <v>1635</v>
      </c>
      <c r="V503">
        <v>0</v>
      </c>
      <c r="W503" s="19">
        <v>0</v>
      </c>
      <c r="X503">
        <v>0</v>
      </c>
      <c r="Y503" s="19">
        <v>0</v>
      </c>
      <c r="Z503">
        <v>0</v>
      </c>
      <c r="AA503" s="19">
        <v>0</v>
      </c>
      <c r="AB503">
        <v>1</v>
      </c>
      <c r="AC503" s="19">
        <v>892</v>
      </c>
      <c r="AD503">
        <v>0</v>
      </c>
      <c r="AE503" s="19">
        <v>0</v>
      </c>
      <c r="AF503">
        <v>0</v>
      </c>
      <c r="AG503" s="19">
        <v>0</v>
      </c>
      <c r="AH503">
        <v>1</v>
      </c>
      <c r="AI503" s="19">
        <v>208</v>
      </c>
      <c r="AJ503">
        <v>1</v>
      </c>
      <c r="AK503" s="19">
        <v>104</v>
      </c>
      <c r="AL503">
        <v>1</v>
      </c>
      <c r="AM503" s="19">
        <v>208</v>
      </c>
      <c r="AN503">
        <v>1</v>
      </c>
      <c r="AO503" s="19">
        <v>223</v>
      </c>
      <c r="AP503">
        <v>1</v>
      </c>
      <c r="AQ503" s="19">
        <v>372</v>
      </c>
    </row>
    <row r="504" spans="1:43" x14ac:dyDescent="0.35">
      <c r="A504" s="18">
        <v>45792</v>
      </c>
      <c r="B504" t="s">
        <v>58</v>
      </c>
      <c r="C504" t="s">
        <v>53</v>
      </c>
      <c r="D504">
        <v>7</v>
      </c>
      <c r="E504">
        <v>3</v>
      </c>
      <c r="F504">
        <v>4</v>
      </c>
      <c r="G504" s="19">
        <v>3833</v>
      </c>
      <c r="H504" s="19">
        <v>3194</v>
      </c>
      <c r="I504" s="19">
        <v>639</v>
      </c>
      <c r="J504" s="19">
        <v>248</v>
      </c>
      <c r="K504" s="19">
        <v>103</v>
      </c>
      <c r="L504" s="19">
        <v>806</v>
      </c>
      <c r="M504" s="19">
        <v>85</v>
      </c>
      <c r="N504" s="19">
        <v>57</v>
      </c>
      <c r="O504" s="19">
        <f t="shared" si="14"/>
        <v>1299</v>
      </c>
      <c r="P504" s="19">
        <f t="shared" si="15"/>
        <v>2534</v>
      </c>
      <c r="Q504" t="s">
        <v>23</v>
      </c>
      <c r="R504" t="s">
        <v>64</v>
      </c>
      <c r="T504">
        <v>1</v>
      </c>
      <c r="U504" s="19">
        <v>1405</v>
      </c>
      <c r="V504">
        <v>0</v>
      </c>
      <c r="W504" s="19">
        <v>0</v>
      </c>
      <c r="X504">
        <v>0</v>
      </c>
      <c r="Y504" s="19">
        <v>0</v>
      </c>
      <c r="Z504">
        <v>1</v>
      </c>
      <c r="AA504" s="19">
        <v>1022</v>
      </c>
      <c r="AB504">
        <v>1</v>
      </c>
      <c r="AC504" s="19">
        <v>767</v>
      </c>
      <c r="AD504">
        <v>0</v>
      </c>
      <c r="AE504" s="19">
        <v>0</v>
      </c>
      <c r="AF504">
        <v>0</v>
      </c>
      <c r="AG504" s="19">
        <v>0</v>
      </c>
      <c r="AH504">
        <v>1</v>
      </c>
      <c r="AI504" s="19">
        <v>179</v>
      </c>
      <c r="AJ504">
        <v>1</v>
      </c>
      <c r="AK504" s="19">
        <v>89</v>
      </c>
      <c r="AL504">
        <v>1</v>
      </c>
      <c r="AM504" s="19">
        <v>179</v>
      </c>
      <c r="AN504">
        <v>1</v>
      </c>
      <c r="AO504" s="19">
        <v>192</v>
      </c>
      <c r="AP504">
        <v>0</v>
      </c>
      <c r="AQ504" s="19">
        <v>0</v>
      </c>
    </row>
    <row r="505" spans="1:43" x14ac:dyDescent="0.35">
      <c r="A505" s="18">
        <v>45793</v>
      </c>
      <c r="B505" t="s">
        <v>59</v>
      </c>
      <c r="C505" t="s">
        <v>53</v>
      </c>
      <c r="D505">
        <v>8</v>
      </c>
      <c r="E505">
        <v>3</v>
      </c>
      <c r="F505">
        <v>5</v>
      </c>
      <c r="G505" s="19">
        <v>4025</v>
      </c>
      <c r="H505" s="19">
        <v>3096</v>
      </c>
      <c r="I505" s="19">
        <v>929</v>
      </c>
      <c r="J505" s="19">
        <v>248</v>
      </c>
      <c r="K505" s="19">
        <v>103</v>
      </c>
      <c r="L505" s="19">
        <v>806</v>
      </c>
      <c r="M505" s="19">
        <v>89</v>
      </c>
      <c r="N505" s="19">
        <v>65</v>
      </c>
      <c r="O505" s="19">
        <f t="shared" si="14"/>
        <v>1311</v>
      </c>
      <c r="P505" s="19">
        <f t="shared" si="15"/>
        <v>2714</v>
      </c>
      <c r="Q505" t="s">
        <v>23</v>
      </c>
      <c r="R505" t="s">
        <v>64</v>
      </c>
      <c r="T505">
        <v>1</v>
      </c>
      <c r="U505" s="19">
        <v>1362</v>
      </c>
      <c r="V505">
        <v>0</v>
      </c>
      <c r="W505" s="19">
        <v>0</v>
      </c>
      <c r="X505">
        <v>0</v>
      </c>
      <c r="Y505" s="19">
        <v>0</v>
      </c>
      <c r="Z505">
        <v>1</v>
      </c>
      <c r="AA505" s="19">
        <v>991</v>
      </c>
      <c r="AB505">
        <v>1</v>
      </c>
      <c r="AC505" s="19">
        <v>743</v>
      </c>
      <c r="AD505">
        <v>0</v>
      </c>
      <c r="AE505" s="19">
        <v>0</v>
      </c>
      <c r="AF505">
        <v>0</v>
      </c>
      <c r="AG505" s="19">
        <v>0</v>
      </c>
      <c r="AH505">
        <v>1</v>
      </c>
      <c r="AI505" s="19">
        <v>173</v>
      </c>
      <c r="AJ505">
        <v>1</v>
      </c>
      <c r="AK505" s="19">
        <v>87</v>
      </c>
      <c r="AL505">
        <v>1</v>
      </c>
      <c r="AM505" s="19">
        <v>173</v>
      </c>
      <c r="AN505">
        <v>1</v>
      </c>
      <c r="AO505" s="19">
        <v>186</v>
      </c>
      <c r="AP505">
        <v>1</v>
      </c>
      <c r="AQ505" s="19">
        <v>310</v>
      </c>
    </row>
    <row r="506" spans="1:43" x14ac:dyDescent="0.35">
      <c r="A506" s="18">
        <v>45794</v>
      </c>
      <c r="B506" t="s">
        <v>60</v>
      </c>
      <c r="C506" t="s">
        <v>61</v>
      </c>
      <c r="D506">
        <v>10</v>
      </c>
      <c r="E506">
        <v>5</v>
      </c>
      <c r="F506">
        <v>5</v>
      </c>
      <c r="G506" s="19">
        <v>4983</v>
      </c>
      <c r="H506" s="19">
        <v>3903</v>
      </c>
      <c r="I506" s="19">
        <v>1080</v>
      </c>
      <c r="J506" s="19">
        <v>248</v>
      </c>
      <c r="K506" s="19">
        <v>103</v>
      </c>
      <c r="L506" s="19">
        <v>806</v>
      </c>
      <c r="M506" s="19">
        <v>110</v>
      </c>
      <c r="N506" s="19">
        <v>81</v>
      </c>
      <c r="O506" s="19">
        <f t="shared" si="14"/>
        <v>1348</v>
      </c>
      <c r="P506" s="19">
        <f t="shared" si="15"/>
        <v>3635</v>
      </c>
      <c r="Q506" t="s">
        <v>23</v>
      </c>
      <c r="R506" t="s">
        <v>64</v>
      </c>
      <c r="T506">
        <v>1</v>
      </c>
      <c r="U506" s="19">
        <v>1584</v>
      </c>
      <c r="V506">
        <v>0</v>
      </c>
      <c r="W506" s="19">
        <v>0</v>
      </c>
      <c r="X506">
        <v>0</v>
      </c>
      <c r="Y506" s="19">
        <v>0</v>
      </c>
      <c r="Z506">
        <v>1</v>
      </c>
      <c r="AA506" s="19">
        <v>1152</v>
      </c>
      <c r="AB506">
        <v>1</v>
      </c>
      <c r="AC506" s="19">
        <v>864</v>
      </c>
      <c r="AD506">
        <v>0</v>
      </c>
      <c r="AE506" s="19">
        <v>0</v>
      </c>
      <c r="AF506">
        <v>0</v>
      </c>
      <c r="AG506" s="19">
        <v>0</v>
      </c>
      <c r="AH506">
        <v>2</v>
      </c>
      <c r="AI506" s="19">
        <v>403</v>
      </c>
      <c r="AJ506">
        <v>2</v>
      </c>
      <c r="AK506" s="19">
        <v>202</v>
      </c>
      <c r="AL506">
        <v>1</v>
      </c>
      <c r="AM506" s="19">
        <v>202</v>
      </c>
      <c r="AN506">
        <v>1</v>
      </c>
      <c r="AO506" s="19">
        <v>216</v>
      </c>
      <c r="AP506">
        <v>1</v>
      </c>
      <c r="AQ506" s="19">
        <v>360</v>
      </c>
    </row>
    <row r="507" spans="1:43" x14ac:dyDescent="0.35">
      <c r="A507" s="18">
        <v>45795</v>
      </c>
      <c r="B507" t="s">
        <v>62</v>
      </c>
      <c r="C507" t="s">
        <v>61</v>
      </c>
      <c r="D507">
        <v>9</v>
      </c>
      <c r="E507">
        <v>4</v>
      </c>
      <c r="F507">
        <v>5</v>
      </c>
      <c r="G507" s="19">
        <v>4600</v>
      </c>
      <c r="H507" s="19">
        <v>3582</v>
      </c>
      <c r="I507" s="19">
        <v>1018</v>
      </c>
      <c r="J507" s="19">
        <v>248</v>
      </c>
      <c r="K507" s="19">
        <v>103</v>
      </c>
      <c r="L507" s="19">
        <v>806</v>
      </c>
      <c r="M507" s="19">
        <v>101</v>
      </c>
      <c r="N507" s="19">
        <v>73</v>
      </c>
      <c r="O507" s="19">
        <f t="shared" si="14"/>
        <v>1331</v>
      </c>
      <c r="P507" s="19">
        <f t="shared" si="15"/>
        <v>3269</v>
      </c>
      <c r="Q507" t="s">
        <v>23</v>
      </c>
      <c r="R507" t="s">
        <v>64</v>
      </c>
      <c r="T507">
        <v>1</v>
      </c>
      <c r="U507" s="19">
        <v>1493</v>
      </c>
      <c r="V507">
        <v>0</v>
      </c>
      <c r="W507" s="19">
        <v>0</v>
      </c>
      <c r="X507">
        <v>0</v>
      </c>
      <c r="Y507" s="19">
        <v>0</v>
      </c>
      <c r="Z507">
        <v>1</v>
      </c>
      <c r="AA507" s="19">
        <v>1086</v>
      </c>
      <c r="AB507">
        <v>1</v>
      </c>
      <c r="AC507" s="19">
        <v>814</v>
      </c>
      <c r="AD507">
        <v>0</v>
      </c>
      <c r="AE507" s="19">
        <v>0</v>
      </c>
      <c r="AF507">
        <v>0</v>
      </c>
      <c r="AG507" s="19">
        <v>0</v>
      </c>
      <c r="AH507">
        <v>2</v>
      </c>
      <c r="AI507" s="19">
        <v>380</v>
      </c>
      <c r="AJ507">
        <v>1</v>
      </c>
      <c r="AK507" s="19">
        <v>95</v>
      </c>
      <c r="AL507">
        <v>1</v>
      </c>
      <c r="AM507" s="19">
        <v>190</v>
      </c>
      <c r="AN507">
        <v>1</v>
      </c>
      <c r="AO507" s="19">
        <v>204</v>
      </c>
      <c r="AP507">
        <v>1</v>
      </c>
      <c r="AQ507" s="19">
        <v>339</v>
      </c>
    </row>
    <row r="508" spans="1:43" x14ac:dyDescent="0.35">
      <c r="A508" s="18">
        <v>45796</v>
      </c>
      <c r="B508" t="s">
        <v>52</v>
      </c>
      <c r="C508" t="s">
        <v>53</v>
      </c>
      <c r="D508">
        <v>6</v>
      </c>
      <c r="E508">
        <v>1</v>
      </c>
      <c r="F508">
        <v>5</v>
      </c>
      <c r="G508" s="19">
        <v>3258</v>
      </c>
      <c r="H508" s="19">
        <v>1937</v>
      </c>
      <c r="I508" s="19">
        <v>1321</v>
      </c>
      <c r="J508" s="19">
        <v>248</v>
      </c>
      <c r="K508" s="19">
        <v>103</v>
      </c>
      <c r="L508" s="19">
        <v>806</v>
      </c>
      <c r="M508" s="19">
        <v>72</v>
      </c>
      <c r="N508" s="19">
        <v>49</v>
      </c>
      <c r="O508" s="19">
        <f t="shared" si="14"/>
        <v>1278</v>
      </c>
      <c r="P508" s="19">
        <f t="shared" si="15"/>
        <v>1980</v>
      </c>
      <c r="Q508" t="s">
        <v>23</v>
      </c>
      <c r="R508" t="s">
        <v>64</v>
      </c>
      <c r="T508">
        <v>1</v>
      </c>
      <c r="U508" s="19">
        <v>1937</v>
      </c>
      <c r="V508">
        <v>0</v>
      </c>
      <c r="W508" s="19">
        <v>0</v>
      </c>
      <c r="X508">
        <v>0</v>
      </c>
      <c r="Y508" s="19">
        <v>0</v>
      </c>
      <c r="Z508">
        <v>0</v>
      </c>
      <c r="AA508" s="19">
        <v>0</v>
      </c>
      <c r="AB508">
        <v>0</v>
      </c>
      <c r="AC508" s="19">
        <v>0</v>
      </c>
      <c r="AD508">
        <v>0</v>
      </c>
      <c r="AE508" s="19">
        <v>0</v>
      </c>
      <c r="AF508">
        <v>0</v>
      </c>
      <c r="AG508" s="19">
        <v>0</v>
      </c>
      <c r="AH508">
        <v>1</v>
      </c>
      <c r="AI508" s="19">
        <v>247</v>
      </c>
      <c r="AJ508">
        <v>1</v>
      </c>
      <c r="AK508" s="19">
        <v>123</v>
      </c>
      <c r="AL508">
        <v>1</v>
      </c>
      <c r="AM508" s="19">
        <v>247</v>
      </c>
      <c r="AN508">
        <v>1</v>
      </c>
      <c r="AO508" s="19">
        <v>264</v>
      </c>
      <c r="AP508">
        <v>1</v>
      </c>
      <c r="AQ508" s="19">
        <v>440</v>
      </c>
    </row>
    <row r="509" spans="1:43" x14ac:dyDescent="0.35">
      <c r="A509" s="18">
        <v>45797</v>
      </c>
      <c r="B509" t="s">
        <v>56</v>
      </c>
      <c r="C509" t="s">
        <v>53</v>
      </c>
      <c r="D509">
        <v>7</v>
      </c>
      <c r="E509">
        <v>2</v>
      </c>
      <c r="F509">
        <v>5</v>
      </c>
      <c r="G509" s="19">
        <v>3450</v>
      </c>
      <c r="H509" s="19">
        <v>2394</v>
      </c>
      <c r="I509" s="19">
        <v>1056</v>
      </c>
      <c r="J509" s="19">
        <v>248</v>
      </c>
      <c r="K509" s="19">
        <v>103</v>
      </c>
      <c r="L509" s="19">
        <v>806</v>
      </c>
      <c r="M509" s="19">
        <v>76</v>
      </c>
      <c r="N509" s="19">
        <v>57</v>
      </c>
      <c r="O509" s="19">
        <f t="shared" si="14"/>
        <v>1290</v>
      </c>
      <c r="P509" s="19">
        <f t="shared" si="15"/>
        <v>2160</v>
      </c>
      <c r="Q509" t="s">
        <v>23</v>
      </c>
      <c r="R509" t="s">
        <v>64</v>
      </c>
      <c r="T509">
        <v>1</v>
      </c>
      <c r="U509" s="19">
        <v>1549</v>
      </c>
      <c r="V509">
        <v>0</v>
      </c>
      <c r="W509" s="19">
        <v>0</v>
      </c>
      <c r="X509">
        <v>0</v>
      </c>
      <c r="Y509" s="19">
        <v>0</v>
      </c>
      <c r="Z509">
        <v>0</v>
      </c>
      <c r="AA509" s="19">
        <v>0</v>
      </c>
      <c r="AB509">
        <v>1</v>
      </c>
      <c r="AC509" s="19">
        <v>845</v>
      </c>
      <c r="AD509">
        <v>0</v>
      </c>
      <c r="AE509" s="19">
        <v>0</v>
      </c>
      <c r="AF509">
        <v>0</v>
      </c>
      <c r="AG509" s="19">
        <v>0</v>
      </c>
      <c r="AH509">
        <v>1</v>
      </c>
      <c r="AI509" s="19">
        <v>197</v>
      </c>
      <c r="AJ509">
        <v>1</v>
      </c>
      <c r="AK509" s="19">
        <v>99</v>
      </c>
      <c r="AL509">
        <v>1</v>
      </c>
      <c r="AM509" s="19">
        <v>197</v>
      </c>
      <c r="AN509">
        <v>1</v>
      </c>
      <c r="AO509" s="19">
        <v>211</v>
      </c>
      <c r="AP509">
        <v>1</v>
      </c>
      <c r="AQ509" s="19">
        <v>352</v>
      </c>
    </row>
    <row r="510" spans="1:43" x14ac:dyDescent="0.35">
      <c r="A510" s="18">
        <v>45798</v>
      </c>
      <c r="B510" t="s">
        <v>57</v>
      </c>
      <c r="C510" t="s">
        <v>53</v>
      </c>
      <c r="D510">
        <v>7</v>
      </c>
      <c r="E510">
        <v>2</v>
      </c>
      <c r="F510">
        <v>5</v>
      </c>
      <c r="G510" s="19">
        <v>3642</v>
      </c>
      <c r="H510" s="19">
        <v>2527</v>
      </c>
      <c r="I510" s="19">
        <v>1115</v>
      </c>
      <c r="J510" s="19">
        <v>248</v>
      </c>
      <c r="K510" s="19">
        <v>103</v>
      </c>
      <c r="L510" s="19">
        <v>806</v>
      </c>
      <c r="M510" s="19">
        <v>80</v>
      </c>
      <c r="N510" s="19">
        <v>57</v>
      </c>
      <c r="O510" s="19">
        <f t="shared" si="14"/>
        <v>1294</v>
      </c>
      <c r="P510" s="19">
        <f t="shared" si="15"/>
        <v>2348</v>
      </c>
      <c r="Q510" t="s">
        <v>23</v>
      </c>
      <c r="R510" t="s">
        <v>64</v>
      </c>
      <c r="T510">
        <v>1</v>
      </c>
      <c r="U510" s="19">
        <v>1635</v>
      </c>
      <c r="V510">
        <v>0</v>
      </c>
      <c r="W510" s="19">
        <v>0</v>
      </c>
      <c r="X510">
        <v>0</v>
      </c>
      <c r="Y510" s="19">
        <v>0</v>
      </c>
      <c r="Z510">
        <v>0</v>
      </c>
      <c r="AA510" s="19">
        <v>0</v>
      </c>
      <c r="AB510">
        <v>1</v>
      </c>
      <c r="AC510" s="19">
        <v>892</v>
      </c>
      <c r="AD510">
        <v>0</v>
      </c>
      <c r="AE510" s="19">
        <v>0</v>
      </c>
      <c r="AF510">
        <v>0</v>
      </c>
      <c r="AG510" s="19">
        <v>0</v>
      </c>
      <c r="AH510">
        <v>1</v>
      </c>
      <c r="AI510" s="19">
        <v>208</v>
      </c>
      <c r="AJ510">
        <v>1</v>
      </c>
      <c r="AK510" s="19">
        <v>104</v>
      </c>
      <c r="AL510">
        <v>1</v>
      </c>
      <c r="AM510" s="19">
        <v>208</v>
      </c>
      <c r="AN510">
        <v>1</v>
      </c>
      <c r="AO510" s="19">
        <v>223</v>
      </c>
      <c r="AP510">
        <v>1</v>
      </c>
      <c r="AQ510" s="19">
        <v>372</v>
      </c>
    </row>
    <row r="511" spans="1:43" x14ac:dyDescent="0.35">
      <c r="A511" s="18">
        <v>45799</v>
      </c>
      <c r="B511" t="s">
        <v>58</v>
      </c>
      <c r="C511" t="s">
        <v>53</v>
      </c>
      <c r="D511">
        <v>7</v>
      </c>
      <c r="E511">
        <v>3</v>
      </c>
      <c r="F511">
        <v>4</v>
      </c>
      <c r="G511" s="19">
        <v>3833</v>
      </c>
      <c r="H511" s="19">
        <v>3194</v>
      </c>
      <c r="I511" s="19">
        <v>639</v>
      </c>
      <c r="J511" s="19">
        <v>248</v>
      </c>
      <c r="K511" s="19">
        <v>103</v>
      </c>
      <c r="L511" s="19">
        <v>806</v>
      </c>
      <c r="M511" s="19">
        <v>85</v>
      </c>
      <c r="N511" s="19">
        <v>57</v>
      </c>
      <c r="O511" s="19">
        <f t="shared" si="14"/>
        <v>1299</v>
      </c>
      <c r="P511" s="19">
        <f t="shared" si="15"/>
        <v>2534</v>
      </c>
      <c r="Q511" t="s">
        <v>23</v>
      </c>
      <c r="R511" t="s">
        <v>64</v>
      </c>
      <c r="T511">
        <v>1</v>
      </c>
      <c r="U511" s="19">
        <v>1405</v>
      </c>
      <c r="V511">
        <v>0</v>
      </c>
      <c r="W511" s="19">
        <v>0</v>
      </c>
      <c r="X511">
        <v>0</v>
      </c>
      <c r="Y511" s="19">
        <v>0</v>
      </c>
      <c r="Z511">
        <v>1</v>
      </c>
      <c r="AA511" s="19">
        <v>1022</v>
      </c>
      <c r="AB511">
        <v>1</v>
      </c>
      <c r="AC511" s="19">
        <v>767</v>
      </c>
      <c r="AD511">
        <v>0</v>
      </c>
      <c r="AE511" s="19">
        <v>0</v>
      </c>
      <c r="AF511">
        <v>0</v>
      </c>
      <c r="AG511" s="19">
        <v>0</v>
      </c>
      <c r="AH511">
        <v>1</v>
      </c>
      <c r="AI511" s="19">
        <v>179</v>
      </c>
      <c r="AJ511">
        <v>1</v>
      </c>
      <c r="AK511" s="19">
        <v>89</v>
      </c>
      <c r="AL511">
        <v>1</v>
      </c>
      <c r="AM511" s="19">
        <v>179</v>
      </c>
      <c r="AN511">
        <v>1</v>
      </c>
      <c r="AO511" s="19">
        <v>192</v>
      </c>
      <c r="AP511">
        <v>0</v>
      </c>
      <c r="AQ511" s="19">
        <v>0</v>
      </c>
    </row>
    <row r="512" spans="1:43" x14ac:dyDescent="0.35">
      <c r="A512" s="18">
        <v>45800</v>
      </c>
      <c r="B512" t="s">
        <v>59</v>
      </c>
      <c r="C512" t="s">
        <v>53</v>
      </c>
      <c r="D512">
        <v>8</v>
      </c>
      <c r="E512">
        <v>3</v>
      </c>
      <c r="F512">
        <v>5</v>
      </c>
      <c r="G512" s="19">
        <v>4025</v>
      </c>
      <c r="H512" s="19">
        <v>2859</v>
      </c>
      <c r="I512" s="19">
        <v>1166</v>
      </c>
      <c r="J512" s="19">
        <v>248</v>
      </c>
      <c r="K512" s="19">
        <v>103</v>
      </c>
      <c r="L512" s="19">
        <v>806</v>
      </c>
      <c r="M512" s="19">
        <v>89</v>
      </c>
      <c r="N512" s="19">
        <v>65</v>
      </c>
      <c r="O512" s="19">
        <f t="shared" si="14"/>
        <v>1311</v>
      </c>
      <c r="P512" s="19">
        <f t="shared" si="15"/>
        <v>2714</v>
      </c>
      <c r="Q512" t="s">
        <v>23</v>
      </c>
      <c r="R512" t="s">
        <v>64</v>
      </c>
      <c r="T512">
        <v>1</v>
      </c>
      <c r="U512" s="19">
        <v>1709</v>
      </c>
      <c r="V512">
        <v>0</v>
      </c>
      <c r="W512" s="19">
        <v>0</v>
      </c>
      <c r="X512">
        <v>0</v>
      </c>
      <c r="Y512" s="19">
        <v>0</v>
      </c>
      <c r="Z512">
        <v>0</v>
      </c>
      <c r="AA512" s="19">
        <v>0</v>
      </c>
      <c r="AB512">
        <v>1</v>
      </c>
      <c r="AC512" s="19">
        <v>932</v>
      </c>
      <c r="AD512">
        <v>0</v>
      </c>
      <c r="AE512" s="19">
        <v>0</v>
      </c>
      <c r="AF512">
        <v>0</v>
      </c>
      <c r="AG512" s="19">
        <v>0</v>
      </c>
      <c r="AH512">
        <v>2</v>
      </c>
      <c r="AI512" s="19">
        <v>435</v>
      </c>
      <c r="AJ512">
        <v>1</v>
      </c>
      <c r="AK512" s="19">
        <v>109</v>
      </c>
      <c r="AL512">
        <v>1</v>
      </c>
      <c r="AM512" s="19">
        <v>218</v>
      </c>
      <c r="AN512">
        <v>1</v>
      </c>
      <c r="AO512" s="19">
        <v>233</v>
      </c>
      <c r="AP512">
        <v>1</v>
      </c>
      <c r="AQ512" s="19">
        <v>389</v>
      </c>
    </row>
    <row r="513" spans="1:43" x14ac:dyDescent="0.35">
      <c r="A513" s="18">
        <v>45801</v>
      </c>
      <c r="B513" t="s">
        <v>60</v>
      </c>
      <c r="C513" t="s">
        <v>61</v>
      </c>
      <c r="D513">
        <v>10</v>
      </c>
      <c r="E513">
        <v>4</v>
      </c>
      <c r="F513">
        <v>6</v>
      </c>
      <c r="G513" s="19">
        <v>4983</v>
      </c>
      <c r="H513" s="19">
        <v>3350</v>
      </c>
      <c r="I513" s="19">
        <v>1633</v>
      </c>
      <c r="J513" s="19">
        <v>248</v>
      </c>
      <c r="K513" s="19">
        <v>103</v>
      </c>
      <c r="L513" s="19">
        <v>806</v>
      </c>
      <c r="M513" s="19">
        <v>110</v>
      </c>
      <c r="N513" s="19">
        <v>81</v>
      </c>
      <c r="O513" s="19">
        <f t="shared" si="14"/>
        <v>1348</v>
      </c>
      <c r="P513" s="19">
        <f t="shared" si="15"/>
        <v>3635</v>
      </c>
      <c r="Q513" t="s">
        <v>25</v>
      </c>
      <c r="R513" t="s">
        <v>64</v>
      </c>
      <c r="T513">
        <v>1</v>
      </c>
      <c r="U513" s="19">
        <v>1026</v>
      </c>
      <c r="V513">
        <v>0</v>
      </c>
      <c r="W513" s="19">
        <v>0</v>
      </c>
      <c r="X513">
        <v>1</v>
      </c>
      <c r="Y513" s="19">
        <v>1633</v>
      </c>
      <c r="Z513">
        <v>0</v>
      </c>
      <c r="AA513" s="19">
        <v>0</v>
      </c>
      <c r="AB513">
        <v>1</v>
      </c>
      <c r="AC513" s="19">
        <v>560</v>
      </c>
      <c r="AD513">
        <v>1</v>
      </c>
      <c r="AE513" s="19">
        <v>933</v>
      </c>
      <c r="AF513">
        <v>0</v>
      </c>
      <c r="AG513" s="19">
        <v>0</v>
      </c>
      <c r="AH513">
        <v>2</v>
      </c>
      <c r="AI513" s="19">
        <v>261</v>
      </c>
      <c r="AJ513">
        <v>1</v>
      </c>
      <c r="AK513" s="19">
        <v>65</v>
      </c>
      <c r="AL513">
        <v>1</v>
      </c>
      <c r="AM513" s="19">
        <v>131</v>
      </c>
      <c r="AN513">
        <v>1</v>
      </c>
      <c r="AO513" s="19">
        <v>140</v>
      </c>
      <c r="AP513">
        <v>1</v>
      </c>
      <c r="AQ513" s="19">
        <v>233</v>
      </c>
    </row>
    <row r="514" spans="1:43" x14ac:dyDescent="0.35">
      <c r="A514" s="18">
        <v>45802</v>
      </c>
      <c r="B514" t="s">
        <v>62</v>
      </c>
      <c r="C514" t="s">
        <v>61</v>
      </c>
      <c r="D514">
        <v>9</v>
      </c>
      <c r="E514">
        <v>4</v>
      </c>
      <c r="F514">
        <v>5</v>
      </c>
      <c r="G514" s="19">
        <v>4600</v>
      </c>
      <c r="H514" s="19">
        <v>3582</v>
      </c>
      <c r="I514" s="19">
        <v>1018</v>
      </c>
      <c r="J514" s="19">
        <v>248</v>
      </c>
      <c r="K514" s="19">
        <v>103</v>
      </c>
      <c r="L514" s="19">
        <v>806</v>
      </c>
      <c r="M514" s="19">
        <v>101</v>
      </c>
      <c r="N514" s="19">
        <v>73</v>
      </c>
      <c r="O514" s="19">
        <f t="shared" si="14"/>
        <v>1331</v>
      </c>
      <c r="P514" s="19">
        <f t="shared" si="15"/>
        <v>3269</v>
      </c>
      <c r="Q514" t="s">
        <v>23</v>
      </c>
      <c r="R514" t="s">
        <v>64</v>
      </c>
      <c r="T514">
        <v>1</v>
      </c>
      <c r="U514" s="19">
        <v>1493</v>
      </c>
      <c r="V514">
        <v>0</v>
      </c>
      <c r="W514" s="19">
        <v>0</v>
      </c>
      <c r="X514">
        <v>0</v>
      </c>
      <c r="Y514" s="19">
        <v>0</v>
      </c>
      <c r="Z514">
        <v>1</v>
      </c>
      <c r="AA514" s="19">
        <v>1086</v>
      </c>
      <c r="AB514">
        <v>1</v>
      </c>
      <c r="AC514" s="19">
        <v>814</v>
      </c>
      <c r="AD514">
        <v>0</v>
      </c>
      <c r="AE514" s="19">
        <v>0</v>
      </c>
      <c r="AF514">
        <v>0</v>
      </c>
      <c r="AG514" s="19">
        <v>0</v>
      </c>
      <c r="AH514">
        <v>2</v>
      </c>
      <c r="AI514" s="19">
        <v>380</v>
      </c>
      <c r="AJ514">
        <v>1</v>
      </c>
      <c r="AK514" s="19">
        <v>95</v>
      </c>
      <c r="AL514">
        <v>1</v>
      </c>
      <c r="AM514" s="19">
        <v>190</v>
      </c>
      <c r="AN514">
        <v>1</v>
      </c>
      <c r="AO514" s="19">
        <v>204</v>
      </c>
      <c r="AP514">
        <v>1</v>
      </c>
      <c r="AQ514" s="19">
        <v>339</v>
      </c>
    </row>
    <row r="515" spans="1:43" x14ac:dyDescent="0.35">
      <c r="A515" s="18">
        <v>45803</v>
      </c>
      <c r="B515" t="s">
        <v>52</v>
      </c>
      <c r="C515" t="s">
        <v>53</v>
      </c>
      <c r="D515">
        <v>6</v>
      </c>
      <c r="E515">
        <v>2</v>
      </c>
      <c r="F515">
        <v>4</v>
      </c>
      <c r="G515" s="19">
        <v>3258</v>
      </c>
      <c r="H515" s="19">
        <v>2518</v>
      </c>
      <c r="I515" s="19">
        <v>740</v>
      </c>
      <c r="J515" s="19">
        <v>248</v>
      </c>
      <c r="K515" s="19">
        <v>103</v>
      </c>
      <c r="L515" s="19">
        <v>806</v>
      </c>
      <c r="M515" s="19">
        <v>72</v>
      </c>
      <c r="N515" s="19">
        <v>49</v>
      </c>
      <c r="O515" s="19">
        <f t="shared" si="14"/>
        <v>1278</v>
      </c>
      <c r="P515" s="19">
        <f t="shared" si="15"/>
        <v>1980</v>
      </c>
      <c r="Q515" t="s">
        <v>23</v>
      </c>
      <c r="R515" t="s">
        <v>64</v>
      </c>
      <c r="T515">
        <v>1</v>
      </c>
      <c r="U515" s="19">
        <v>1629</v>
      </c>
      <c r="V515">
        <v>0</v>
      </c>
      <c r="W515" s="19">
        <v>0</v>
      </c>
      <c r="X515">
        <v>0</v>
      </c>
      <c r="Y515" s="19">
        <v>0</v>
      </c>
      <c r="Z515">
        <v>0</v>
      </c>
      <c r="AA515" s="19">
        <v>0</v>
      </c>
      <c r="AB515">
        <v>1</v>
      </c>
      <c r="AC515" s="19">
        <v>889</v>
      </c>
      <c r="AD515">
        <v>0</v>
      </c>
      <c r="AE515" s="19">
        <v>0</v>
      </c>
      <c r="AF515">
        <v>0</v>
      </c>
      <c r="AG515" s="19">
        <v>0</v>
      </c>
      <c r="AH515">
        <v>1</v>
      </c>
      <c r="AI515" s="19">
        <v>207</v>
      </c>
      <c r="AJ515">
        <v>1</v>
      </c>
      <c r="AK515" s="19">
        <v>104</v>
      </c>
      <c r="AL515">
        <v>1</v>
      </c>
      <c r="AM515" s="19">
        <v>207</v>
      </c>
      <c r="AN515">
        <v>1</v>
      </c>
      <c r="AO515" s="19">
        <v>222</v>
      </c>
      <c r="AP515">
        <v>0</v>
      </c>
      <c r="AQ515" s="19">
        <v>0</v>
      </c>
    </row>
    <row r="516" spans="1:43" x14ac:dyDescent="0.35">
      <c r="A516" s="18">
        <v>45804</v>
      </c>
      <c r="B516" t="s">
        <v>56</v>
      </c>
      <c r="C516" t="s">
        <v>53</v>
      </c>
      <c r="D516">
        <v>7</v>
      </c>
      <c r="E516">
        <v>2</v>
      </c>
      <c r="F516">
        <v>5</v>
      </c>
      <c r="G516" s="19">
        <v>3450</v>
      </c>
      <c r="H516" s="19">
        <v>2394</v>
      </c>
      <c r="I516" s="19">
        <v>1056</v>
      </c>
      <c r="J516" s="19">
        <v>248</v>
      </c>
      <c r="K516" s="19">
        <v>103</v>
      </c>
      <c r="L516" s="19">
        <v>806</v>
      </c>
      <c r="M516" s="19">
        <v>76</v>
      </c>
      <c r="N516" s="19">
        <v>57</v>
      </c>
      <c r="O516" s="19">
        <f t="shared" ref="O516:O579" si="16">SUM(J516:N516)</f>
        <v>1290</v>
      </c>
      <c r="P516" s="19">
        <f t="shared" ref="P516:P579" si="17">G516-O516</f>
        <v>2160</v>
      </c>
      <c r="Q516" t="s">
        <v>23</v>
      </c>
      <c r="R516" t="s">
        <v>64</v>
      </c>
      <c r="T516">
        <v>1</v>
      </c>
      <c r="U516" s="19">
        <v>1549</v>
      </c>
      <c r="V516">
        <v>0</v>
      </c>
      <c r="W516" s="19">
        <v>0</v>
      </c>
      <c r="X516">
        <v>0</v>
      </c>
      <c r="Y516" s="19">
        <v>0</v>
      </c>
      <c r="Z516">
        <v>0</v>
      </c>
      <c r="AA516" s="19">
        <v>0</v>
      </c>
      <c r="AB516">
        <v>1</v>
      </c>
      <c r="AC516" s="19">
        <v>845</v>
      </c>
      <c r="AD516">
        <v>0</v>
      </c>
      <c r="AE516" s="19">
        <v>0</v>
      </c>
      <c r="AF516">
        <v>0</v>
      </c>
      <c r="AG516" s="19">
        <v>0</v>
      </c>
      <c r="AH516">
        <v>1</v>
      </c>
      <c r="AI516" s="19">
        <v>197</v>
      </c>
      <c r="AJ516">
        <v>1</v>
      </c>
      <c r="AK516" s="19">
        <v>99</v>
      </c>
      <c r="AL516">
        <v>1</v>
      </c>
      <c r="AM516" s="19">
        <v>197</v>
      </c>
      <c r="AN516">
        <v>1</v>
      </c>
      <c r="AO516" s="19">
        <v>211</v>
      </c>
      <c r="AP516">
        <v>1</v>
      </c>
      <c r="AQ516" s="19">
        <v>352</v>
      </c>
    </row>
    <row r="517" spans="1:43" x14ac:dyDescent="0.35">
      <c r="A517" s="18">
        <v>45805</v>
      </c>
      <c r="B517" t="s">
        <v>57</v>
      </c>
      <c r="C517" t="s">
        <v>53</v>
      </c>
      <c r="D517">
        <v>7</v>
      </c>
      <c r="E517">
        <v>2</v>
      </c>
      <c r="F517">
        <v>5</v>
      </c>
      <c r="G517" s="19">
        <v>3642</v>
      </c>
      <c r="H517" s="19">
        <v>2527</v>
      </c>
      <c r="I517" s="19">
        <v>1115</v>
      </c>
      <c r="J517" s="19">
        <v>248</v>
      </c>
      <c r="K517" s="19">
        <v>103</v>
      </c>
      <c r="L517" s="19">
        <v>806</v>
      </c>
      <c r="M517" s="19">
        <v>80</v>
      </c>
      <c r="N517" s="19">
        <v>57</v>
      </c>
      <c r="O517" s="19">
        <f t="shared" si="16"/>
        <v>1294</v>
      </c>
      <c r="P517" s="19">
        <f t="shared" si="17"/>
        <v>2348</v>
      </c>
      <c r="Q517" t="s">
        <v>23</v>
      </c>
      <c r="R517" t="s">
        <v>64</v>
      </c>
      <c r="T517">
        <v>1</v>
      </c>
      <c r="U517" s="19">
        <v>1635</v>
      </c>
      <c r="V517">
        <v>0</v>
      </c>
      <c r="W517" s="19">
        <v>0</v>
      </c>
      <c r="X517">
        <v>0</v>
      </c>
      <c r="Y517" s="19">
        <v>0</v>
      </c>
      <c r="Z517">
        <v>0</v>
      </c>
      <c r="AA517" s="19">
        <v>0</v>
      </c>
      <c r="AB517">
        <v>1</v>
      </c>
      <c r="AC517" s="19">
        <v>892</v>
      </c>
      <c r="AD517">
        <v>0</v>
      </c>
      <c r="AE517" s="19">
        <v>0</v>
      </c>
      <c r="AF517">
        <v>0</v>
      </c>
      <c r="AG517" s="19">
        <v>0</v>
      </c>
      <c r="AH517">
        <v>1</v>
      </c>
      <c r="AI517" s="19">
        <v>208</v>
      </c>
      <c r="AJ517">
        <v>1</v>
      </c>
      <c r="AK517" s="19">
        <v>104</v>
      </c>
      <c r="AL517">
        <v>1</v>
      </c>
      <c r="AM517" s="19">
        <v>208</v>
      </c>
      <c r="AN517">
        <v>1</v>
      </c>
      <c r="AO517" s="19">
        <v>223</v>
      </c>
      <c r="AP517">
        <v>1</v>
      </c>
      <c r="AQ517" s="19">
        <v>372</v>
      </c>
    </row>
    <row r="518" spans="1:43" x14ac:dyDescent="0.35">
      <c r="A518" s="18">
        <v>45806</v>
      </c>
      <c r="B518" t="s">
        <v>58</v>
      </c>
      <c r="C518" t="s">
        <v>53</v>
      </c>
      <c r="D518">
        <v>4</v>
      </c>
      <c r="E518">
        <v>0</v>
      </c>
      <c r="F518">
        <v>4</v>
      </c>
      <c r="G518" s="19">
        <v>3836</v>
      </c>
      <c r="H518" s="19">
        <v>0</v>
      </c>
      <c r="I518" s="19">
        <v>3836</v>
      </c>
      <c r="J518" s="19">
        <v>248</v>
      </c>
      <c r="K518" s="19">
        <v>103</v>
      </c>
      <c r="L518" s="19">
        <v>806</v>
      </c>
      <c r="M518" s="19">
        <v>85</v>
      </c>
      <c r="N518" s="19">
        <v>32</v>
      </c>
      <c r="O518" s="19">
        <f t="shared" si="16"/>
        <v>1274</v>
      </c>
      <c r="P518" s="19">
        <f t="shared" si="17"/>
        <v>2562</v>
      </c>
      <c r="Q518" t="s">
        <v>33</v>
      </c>
      <c r="R518" t="s">
        <v>64</v>
      </c>
      <c r="T518">
        <v>0</v>
      </c>
      <c r="U518" s="19">
        <v>0</v>
      </c>
      <c r="V518">
        <v>0</v>
      </c>
      <c r="W518" s="19">
        <v>0</v>
      </c>
      <c r="X518">
        <v>0</v>
      </c>
      <c r="Y518" s="19">
        <v>0</v>
      </c>
      <c r="Z518">
        <v>0</v>
      </c>
      <c r="AA518" s="19">
        <v>0</v>
      </c>
      <c r="AB518">
        <v>0</v>
      </c>
      <c r="AC518" s="19">
        <v>0</v>
      </c>
      <c r="AD518">
        <v>0</v>
      </c>
      <c r="AE518" s="19">
        <v>0</v>
      </c>
      <c r="AF518">
        <v>0</v>
      </c>
      <c r="AG518" s="19">
        <v>0</v>
      </c>
      <c r="AH518">
        <v>1</v>
      </c>
      <c r="AI518" s="19">
        <v>1074</v>
      </c>
      <c r="AJ518">
        <v>1</v>
      </c>
      <c r="AK518" s="19">
        <v>537</v>
      </c>
      <c r="AL518">
        <v>1</v>
      </c>
      <c r="AM518" s="19">
        <v>1074</v>
      </c>
      <c r="AN518">
        <v>1</v>
      </c>
      <c r="AO518" s="19">
        <v>1151</v>
      </c>
      <c r="AP518">
        <v>0</v>
      </c>
      <c r="AQ518" s="19">
        <v>0</v>
      </c>
    </row>
    <row r="519" spans="1:43" x14ac:dyDescent="0.35">
      <c r="A519" s="18">
        <v>45807</v>
      </c>
      <c r="B519" t="s">
        <v>59</v>
      </c>
      <c r="C519" t="s">
        <v>53</v>
      </c>
      <c r="D519">
        <v>8</v>
      </c>
      <c r="E519">
        <v>3</v>
      </c>
      <c r="F519">
        <v>5</v>
      </c>
      <c r="G519" s="19">
        <v>4330</v>
      </c>
      <c r="H519" s="19">
        <v>3076</v>
      </c>
      <c r="I519" s="19">
        <v>1254</v>
      </c>
      <c r="J519" s="19">
        <v>248</v>
      </c>
      <c r="K519" s="19">
        <v>103</v>
      </c>
      <c r="L519" s="19">
        <v>806</v>
      </c>
      <c r="M519" s="19">
        <v>96</v>
      </c>
      <c r="N519" s="19">
        <v>65</v>
      </c>
      <c r="O519" s="19">
        <f t="shared" si="16"/>
        <v>1318</v>
      </c>
      <c r="P519" s="19">
        <f t="shared" si="17"/>
        <v>3012</v>
      </c>
      <c r="Q519" t="s">
        <v>23</v>
      </c>
      <c r="R519" t="s">
        <v>64</v>
      </c>
      <c r="T519">
        <v>1</v>
      </c>
      <c r="U519" s="19">
        <v>1839</v>
      </c>
      <c r="V519">
        <v>0</v>
      </c>
      <c r="W519" s="19">
        <v>0</v>
      </c>
      <c r="X519">
        <v>0</v>
      </c>
      <c r="Y519" s="19">
        <v>0</v>
      </c>
      <c r="Z519">
        <v>0</v>
      </c>
      <c r="AA519" s="19">
        <v>0</v>
      </c>
      <c r="AB519">
        <v>1</v>
      </c>
      <c r="AC519" s="19">
        <v>1003</v>
      </c>
      <c r="AD519">
        <v>0</v>
      </c>
      <c r="AE519" s="19">
        <v>0</v>
      </c>
      <c r="AF519">
        <v>0</v>
      </c>
      <c r="AG519" s="19">
        <v>0</v>
      </c>
      <c r="AH519">
        <v>2</v>
      </c>
      <c r="AI519" s="19">
        <v>468</v>
      </c>
      <c r="AJ519">
        <v>1</v>
      </c>
      <c r="AK519" s="19">
        <v>117</v>
      </c>
      <c r="AL519">
        <v>1</v>
      </c>
      <c r="AM519" s="19">
        <v>234</v>
      </c>
      <c r="AN519">
        <v>1</v>
      </c>
      <c r="AO519" s="19">
        <v>251</v>
      </c>
      <c r="AP519">
        <v>1</v>
      </c>
      <c r="AQ519" s="19">
        <v>418</v>
      </c>
    </row>
    <row r="520" spans="1:43" x14ac:dyDescent="0.35">
      <c r="A520" s="18">
        <v>45808</v>
      </c>
      <c r="B520" t="s">
        <v>60</v>
      </c>
      <c r="C520" t="s">
        <v>61</v>
      </c>
      <c r="D520">
        <v>10</v>
      </c>
      <c r="E520">
        <v>4</v>
      </c>
      <c r="F520">
        <v>6</v>
      </c>
      <c r="G520" s="19">
        <v>5271</v>
      </c>
      <c r="H520" s="19">
        <v>3170</v>
      </c>
      <c r="I520" s="19">
        <v>2101</v>
      </c>
      <c r="J520" s="19">
        <v>248</v>
      </c>
      <c r="K520" s="19">
        <v>103</v>
      </c>
      <c r="L520" s="19">
        <v>806</v>
      </c>
      <c r="M520" s="19">
        <v>116</v>
      </c>
      <c r="N520" s="19">
        <v>81</v>
      </c>
      <c r="O520" s="19">
        <f t="shared" si="16"/>
        <v>1354</v>
      </c>
      <c r="P520" s="19">
        <f t="shared" si="17"/>
        <v>3917</v>
      </c>
      <c r="Q520" t="s">
        <v>23</v>
      </c>
      <c r="R520" t="s">
        <v>64</v>
      </c>
      <c r="T520">
        <v>1</v>
      </c>
      <c r="U520" s="19">
        <v>1321</v>
      </c>
      <c r="V520">
        <v>0</v>
      </c>
      <c r="W520" s="19">
        <v>0</v>
      </c>
      <c r="X520">
        <v>0</v>
      </c>
      <c r="Y520" s="19">
        <v>0</v>
      </c>
      <c r="Z520">
        <v>1</v>
      </c>
      <c r="AA520" s="19">
        <v>961</v>
      </c>
      <c r="AB520">
        <v>1</v>
      </c>
      <c r="AC520" s="19">
        <v>720</v>
      </c>
      <c r="AD520">
        <v>1</v>
      </c>
      <c r="AE520" s="19">
        <v>1201</v>
      </c>
      <c r="AF520">
        <v>0</v>
      </c>
      <c r="AG520" s="19">
        <v>0</v>
      </c>
      <c r="AH520">
        <v>2</v>
      </c>
      <c r="AI520" s="19">
        <v>336</v>
      </c>
      <c r="AJ520">
        <v>1</v>
      </c>
      <c r="AK520" s="19">
        <v>84</v>
      </c>
      <c r="AL520">
        <v>1</v>
      </c>
      <c r="AM520" s="19">
        <v>168</v>
      </c>
      <c r="AN520">
        <v>1</v>
      </c>
      <c r="AO520" s="19">
        <v>180</v>
      </c>
      <c r="AP520">
        <v>1</v>
      </c>
      <c r="AQ520" s="19">
        <v>300</v>
      </c>
    </row>
    <row r="521" spans="1:43" x14ac:dyDescent="0.35">
      <c r="A521" s="18">
        <v>45809</v>
      </c>
      <c r="B521" t="s">
        <v>62</v>
      </c>
      <c r="C521" t="s">
        <v>61</v>
      </c>
      <c r="D521">
        <v>7</v>
      </c>
      <c r="E521">
        <v>2</v>
      </c>
      <c r="F521">
        <v>5</v>
      </c>
      <c r="G521" s="19">
        <v>3834</v>
      </c>
      <c r="H521" s="19">
        <v>2660</v>
      </c>
      <c r="I521" s="19">
        <v>1174</v>
      </c>
      <c r="J521" s="19">
        <v>250</v>
      </c>
      <c r="K521" s="19">
        <v>100</v>
      </c>
      <c r="L521" s="19">
        <v>833</v>
      </c>
      <c r="M521" s="19">
        <v>85</v>
      </c>
      <c r="N521" s="19">
        <v>57</v>
      </c>
      <c r="O521" s="19">
        <f t="shared" si="16"/>
        <v>1325</v>
      </c>
      <c r="P521" s="19">
        <f t="shared" si="17"/>
        <v>2509</v>
      </c>
      <c r="Q521" t="s">
        <v>23</v>
      </c>
      <c r="R521" t="s">
        <v>65</v>
      </c>
      <c r="T521">
        <v>1</v>
      </c>
      <c r="U521" s="19">
        <v>1721</v>
      </c>
      <c r="V521">
        <v>0</v>
      </c>
      <c r="W521" s="19">
        <v>0</v>
      </c>
      <c r="X521">
        <v>0</v>
      </c>
      <c r="Y521" s="19">
        <v>0</v>
      </c>
      <c r="Z521">
        <v>0</v>
      </c>
      <c r="AA521" s="19">
        <v>0</v>
      </c>
      <c r="AB521">
        <v>1</v>
      </c>
      <c r="AC521" s="19">
        <v>939</v>
      </c>
      <c r="AD521">
        <v>0</v>
      </c>
      <c r="AE521" s="19">
        <v>0</v>
      </c>
      <c r="AF521">
        <v>0</v>
      </c>
      <c r="AG521" s="19">
        <v>0</v>
      </c>
      <c r="AH521">
        <v>1</v>
      </c>
      <c r="AI521" s="19">
        <v>219</v>
      </c>
      <c r="AJ521">
        <v>1</v>
      </c>
      <c r="AK521" s="19">
        <v>110</v>
      </c>
      <c r="AL521">
        <v>1</v>
      </c>
      <c r="AM521" s="19">
        <v>219</v>
      </c>
      <c r="AN521">
        <v>1</v>
      </c>
      <c r="AO521" s="19">
        <v>235</v>
      </c>
      <c r="AP521">
        <v>1</v>
      </c>
      <c r="AQ521" s="19">
        <v>391</v>
      </c>
    </row>
    <row r="522" spans="1:43" x14ac:dyDescent="0.35">
      <c r="A522" s="18">
        <v>45810</v>
      </c>
      <c r="B522" t="s">
        <v>52</v>
      </c>
      <c r="C522" t="s">
        <v>53</v>
      </c>
      <c r="D522">
        <v>6</v>
      </c>
      <c r="E522">
        <v>1</v>
      </c>
      <c r="F522">
        <v>5</v>
      </c>
      <c r="G522" s="19">
        <v>3035</v>
      </c>
      <c r="H522" s="19">
        <v>1805</v>
      </c>
      <c r="I522" s="19">
        <v>1230</v>
      </c>
      <c r="J522" s="19">
        <v>250</v>
      </c>
      <c r="K522" s="19">
        <v>100</v>
      </c>
      <c r="L522" s="19">
        <v>833</v>
      </c>
      <c r="M522" s="19">
        <v>67</v>
      </c>
      <c r="N522" s="19">
        <v>49</v>
      </c>
      <c r="O522" s="19">
        <f t="shared" si="16"/>
        <v>1299</v>
      </c>
      <c r="P522" s="19">
        <f t="shared" si="17"/>
        <v>1736</v>
      </c>
      <c r="Q522" t="s">
        <v>23</v>
      </c>
      <c r="R522" t="s">
        <v>65</v>
      </c>
      <c r="T522">
        <v>1</v>
      </c>
      <c r="U522" s="19">
        <v>1805</v>
      </c>
      <c r="V522">
        <v>0</v>
      </c>
      <c r="W522" s="19">
        <v>0</v>
      </c>
      <c r="X522">
        <v>0</v>
      </c>
      <c r="Y522" s="19">
        <v>0</v>
      </c>
      <c r="Z522">
        <v>0</v>
      </c>
      <c r="AA522" s="19">
        <v>0</v>
      </c>
      <c r="AB522">
        <v>0</v>
      </c>
      <c r="AC522" s="19">
        <v>0</v>
      </c>
      <c r="AD522">
        <v>0</v>
      </c>
      <c r="AE522" s="19">
        <v>0</v>
      </c>
      <c r="AF522">
        <v>0</v>
      </c>
      <c r="AG522" s="19">
        <v>0</v>
      </c>
      <c r="AH522">
        <v>1</v>
      </c>
      <c r="AI522" s="19">
        <v>230</v>
      </c>
      <c r="AJ522">
        <v>1</v>
      </c>
      <c r="AK522" s="19">
        <v>115</v>
      </c>
      <c r="AL522">
        <v>1</v>
      </c>
      <c r="AM522" s="19">
        <v>230</v>
      </c>
      <c r="AN522">
        <v>1</v>
      </c>
      <c r="AO522" s="19">
        <v>246</v>
      </c>
      <c r="AP522">
        <v>1</v>
      </c>
      <c r="AQ522" s="19">
        <v>410</v>
      </c>
    </row>
    <row r="523" spans="1:43" x14ac:dyDescent="0.35">
      <c r="A523" s="18">
        <v>45811</v>
      </c>
      <c r="B523" t="s">
        <v>56</v>
      </c>
      <c r="C523" t="s">
        <v>53</v>
      </c>
      <c r="D523">
        <v>6</v>
      </c>
      <c r="E523">
        <v>1</v>
      </c>
      <c r="F523">
        <v>5</v>
      </c>
      <c r="G523" s="19">
        <v>3023</v>
      </c>
      <c r="H523" s="19">
        <v>1344</v>
      </c>
      <c r="I523" s="19">
        <v>1679</v>
      </c>
      <c r="J523" s="19">
        <v>250</v>
      </c>
      <c r="K523" s="19">
        <v>100</v>
      </c>
      <c r="L523" s="19">
        <v>833</v>
      </c>
      <c r="M523" s="19">
        <v>67</v>
      </c>
      <c r="N523" s="19">
        <v>49</v>
      </c>
      <c r="O523" s="19">
        <f t="shared" si="16"/>
        <v>1299</v>
      </c>
      <c r="P523" s="19">
        <f t="shared" si="17"/>
        <v>1724</v>
      </c>
      <c r="Q523" t="s">
        <v>27</v>
      </c>
      <c r="R523" t="s">
        <v>65</v>
      </c>
      <c r="T523">
        <v>0</v>
      </c>
      <c r="U523" s="19">
        <v>0</v>
      </c>
      <c r="V523">
        <v>0</v>
      </c>
      <c r="W523" s="19">
        <v>0</v>
      </c>
      <c r="X523">
        <v>0</v>
      </c>
      <c r="Y523" s="19">
        <v>0</v>
      </c>
      <c r="Z523">
        <v>0</v>
      </c>
      <c r="AA523" s="19">
        <v>0</v>
      </c>
      <c r="AB523">
        <v>1</v>
      </c>
      <c r="AC523" s="19">
        <v>1344</v>
      </c>
      <c r="AD523">
        <v>0</v>
      </c>
      <c r="AE523" s="19">
        <v>0</v>
      </c>
      <c r="AF523">
        <v>0</v>
      </c>
      <c r="AG523" s="19">
        <v>0</v>
      </c>
      <c r="AH523">
        <v>1</v>
      </c>
      <c r="AI523" s="19">
        <v>314</v>
      </c>
      <c r="AJ523">
        <v>1</v>
      </c>
      <c r="AK523" s="19">
        <v>157</v>
      </c>
      <c r="AL523">
        <v>1</v>
      </c>
      <c r="AM523" s="19">
        <v>314</v>
      </c>
      <c r="AN523">
        <v>1</v>
      </c>
      <c r="AO523" s="19">
        <v>336</v>
      </c>
      <c r="AP523">
        <v>1</v>
      </c>
      <c r="AQ523" s="19">
        <v>560</v>
      </c>
    </row>
    <row r="524" spans="1:43" x14ac:dyDescent="0.35">
      <c r="A524" s="18">
        <v>45812</v>
      </c>
      <c r="B524" t="s">
        <v>57</v>
      </c>
      <c r="C524" t="s">
        <v>53</v>
      </c>
      <c r="D524">
        <v>6</v>
      </c>
      <c r="E524">
        <v>2</v>
      </c>
      <c r="F524">
        <v>4</v>
      </c>
      <c r="G524" s="19">
        <v>3165</v>
      </c>
      <c r="H524" s="19">
        <v>2446</v>
      </c>
      <c r="I524" s="19">
        <v>719</v>
      </c>
      <c r="J524" s="19">
        <v>250</v>
      </c>
      <c r="K524" s="19">
        <v>100</v>
      </c>
      <c r="L524" s="19">
        <v>833</v>
      </c>
      <c r="M524" s="19">
        <v>70</v>
      </c>
      <c r="N524" s="19">
        <v>49</v>
      </c>
      <c r="O524" s="19">
        <f t="shared" si="16"/>
        <v>1302</v>
      </c>
      <c r="P524" s="19">
        <f t="shared" si="17"/>
        <v>1863</v>
      </c>
      <c r="Q524" t="s">
        <v>23</v>
      </c>
      <c r="R524" t="s">
        <v>65</v>
      </c>
      <c r="T524">
        <v>1</v>
      </c>
      <c r="U524" s="19">
        <v>1582</v>
      </c>
      <c r="V524">
        <v>0</v>
      </c>
      <c r="W524" s="19">
        <v>0</v>
      </c>
      <c r="X524">
        <v>0</v>
      </c>
      <c r="Y524" s="19">
        <v>0</v>
      </c>
      <c r="Z524">
        <v>0</v>
      </c>
      <c r="AA524" s="19">
        <v>0</v>
      </c>
      <c r="AB524">
        <v>1</v>
      </c>
      <c r="AC524" s="19">
        <v>863</v>
      </c>
      <c r="AD524">
        <v>0</v>
      </c>
      <c r="AE524" s="19">
        <v>0</v>
      </c>
      <c r="AF524">
        <v>0</v>
      </c>
      <c r="AG524" s="19">
        <v>0</v>
      </c>
      <c r="AH524">
        <v>1</v>
      </c>
      <c r="AI524" s="19">
        <v>201</v>
      </c>
      <c r="AJ524">
        <v>1</v>
      </c>
      <c r="AK524" s="19">
        <v>101</v>
      </c>
      <c r="AL524">
        <v>1</v>
      </c>
      <c r="AM524" s="19">
        <v>201</v>
      </c>
      <c r="AN524">
        <v>1</v>
      </c>
      <c r="AO524" s="19">
        <v>216</v>
      </c>
      <c r="AP524">
        <v>0</v>
      </c>
      <c r="AQ524" s="19">
        <v>0</v>
      </c>
    </row>
    <row r="525" spans="1:43" x14ac:dyDescent="0.35">
      <c r="A525" s="18">
        <v>45813</v>
      </c>
      <c r="B525" t="s">
        <v>58</v>
      </c>
      <c r="C525" t="s">
        <v>53</v>
      </c>
      <c r="D525">
        <v>6</v>
      </c>
      <c r="E525">
        <v>1</v>
      </c>
      <c r="F525">
        <v>5</v>
      </c>
      <c r="G525" s="19">
        <v>3146</v>
      </c>
      <c r="H525" s="19">
        <v>1398</v>
      </c>
      <c r="I525" s="19">
        <v>1748</v>
      </c>
      <c r="J525" s="19">
        <v>250</v>
      </c>
      <c r="K525" s="19">
        <v>100</v>
      </c>
      <c r="L525" s="19">
        <v>833</v>
      </c>
      <c r="M525" s="19">
        <v>69</v>
      </c>
      <c r="N525" s="19">
        <v>49</v>
      </c>
      <c r="O525" s="19">
        <f t="shared" si="16"/>
        <v>1301</v>
      </c>
      <c r="P525" s="19">
        <f t="shared" si="17"/>
        <v>1845</v>
      </c>
      <c r="Q525" t="s">
        <v>27</v>
      </c>
      <c r="R525" t="s">
        <v>65</v>
      </c>
      <c r="T525">
        <v>0</v>
      </c>
      <c r="U525" s="19">
        <v>0</v>
      </c>
      <c r="V525">
        <v>0</v>
      </c>
      <c r="W525" s="19">
        <v>0</v>
      </c>
      <c r="X525">
        <v>0</v>
      </c>
      <c r="Y525" s="19">
        <v>0</v>
      </c>
      <c r="Z525">
        <v>0</v>
      </c>
      <c r="AA525" s="19">
        <v>0</v>
      </c>
      <c r="AB525">
        <v>1</v>
      </c>
      <c r="AC525" s="19">
        <v>1398</v>
      </c>
      <c r="AD525">
        <v>0</v>
      </c>
      <c r="AE525" s="19">
        <v>0</v>
      </c>
      <c r="AF525">
        <v>0</v>
      </c>
      <c r="AG525" s="19">
        <v>0</v>
      </c>
      <c r="AH525">
        <v>1</v>
      </c>
      <c r="AI525" s="19">
        <v>326</v>
      </c>
      <c r="AJ525">
        <v>1</v>
      </c>
      <c r="AK525" s="19">
        <v>163</v>
      </c>
      <c r="AL525">
        <v>1</v>
      </c>
      <c r="AM525" s="19">
        <v>326</v>
      </c>
      <c r="AN525">
        <v>1</v>
      </c>
      <c r="AO525" s="19">
        <v>350</v>
      </c>
      <c r="AP525">
        <v>1</v>
      </c>
      <c r="AQ525" s="19">
        <v>583</v>
      </c>
    </row>
    <row r="526" spans="1:43" x14ac:dyDescent="0.35">
      <c r="A526" s="18">
        <v>45814</v>
      </c>
      <c r="B526" t="s">
        <v>59</v>
      </c>
      <c r="C526" t="s">
        <v>53</v>
      </c>
      <c r="D526">
        <v>7</v>
      </c>
      <c r="E526">
        <v>2</v>
      </c>
      <c r="F526">
        <v>5</v>
      </c>
      <c r="G526" s="19">
        <v>3645</v>
      </c>
      <c r="H526" s="19">
        <v>2529</v>
      </c>
      <c r="I526" s="19">
        <v>1116</v>
      </c>
      <c r="J526" s="19">
        <v>250</v>
      </c>
      <c r="K526" s="19">
        <v>100</v>
      </c>
      <c r="L526" s="19">
        <v>833</v>
      </c>
      <c r="M526" s="19">
        <v>80</v>
      </c>
      <c r="N526" s="19">
        <v>57</v>
      </c>
      <c r="O526" s="19">
        <f t="shared" si="16"/>
        <v>1320</v>
      </c>
      <c r="P526" s="19">
        <f t="shared" si="17"/>
        <v>2325</v>
      </c>
      <c r="Q526" t="s">
        <v>23</v>
      </c>
      <c r="R526" t="s">
        <v>65</v>
      </c>
      <c r="T526">
        <v>1</v>
      </c>
      <c r="U526" s="19">
        <v>1637</v>
      </c>
      <c r="V526">
        <v>0</v>
      </c>
      <c r="W526" s="19">
        <v>0</v>
      </c>
      <c r="X526">
        <v>0</v>
      </c>
      <c r="Y526" s="19">
        <v>0</v>
      </c>
      <c r="Z526">
        <v>0</v>
      </c>
      <c r="AA526" s="19">
        <v>0</v>
      </c>
      <c r="AB526">
        <v>1</v>
      </c>
      <c r="AC526" s="19">
        <v>893</v>
      </c>
      <c r="AD526">
        <v>0</v>
      </c>
      <c r="AE526" s="19">
        <v>0</v>
      </c>
      <c r="AF526">
        <v>0</v>
      </c>
      <c r="AG526" s="19">
        <v>0</v>
      </c>
      <c r="AH526">
        <v>1</v>
      </c>
      <c r="AI526" s="19">
        <v>208</v>
      </c>
      <c r="AJ526">
        <v>1</v>
      </c>
      <c r="AK526" s="19">
        <v>104</v>
      </c>
      <c r="AL526">
        <v>1</v>
      </c>
      <c r="AM526" s="19">
        <v>208</v>
      </c>
      <c r="AN526">
        <v>1</v>
      </c>
      <c r="AO526" s="19">
        <v>223</v>
      </c>
      <c r="AP526">
        <v>1</v>
      </c>
      <c r="AQ526" s="19">
        <v>372</v>
      </c>
    </row>
    <row r="527" spans="1:43" x14ac:dyDescent="0.35">
      <c r="A527" s="18">
        <v>45815</v>
      </c>
      <c r="B527" t="s">
        <v>60</v>
      </c>
      <c r="C527" t="s">
        <v>61</v>
      </c>
      <c r="D527">
        <v>9</v>
      </c>
      <c r="E527">
        <v>4</v>
      </c>
      <c r="F527">
        <v>5</v>
      </c>
      <c r="G527" s="19">
        <v>4528</v>
      </c>
      <c r="H527" s="19">
        <v>3526</v>
      </c>
      <c r="I527" s="19">
        <v>1002</v>
      </c>
      <c r="J527" s="19">
        <v>250</v>
      </c>
      <c r="K527" s="19">
        <v>100</v>
      </c>
      <c r="L527" s="19">
        <v>833</v>
      </c>
      <c r="M527" s="19">
        <v>100</v>
      </c>
      <c r="N527" s="19">
        <v>73</v>
      </c>
      <c r="O527" s="19">
        <f t="shared" si="16"/>
        <v>1356</v>
      </c>
      <c r="P527" s="19">
        <f t="shared" si="17"/>
        <v>3172</v>
      </c>
      <c r="Q527" t="s">
        <v>23</v>
      </c>
      <c r="R527" t="s">
        <v>65</v>
      </c>
      <c r="T527">
        <v>1</v>
      </c>
      <c r="U527" s="19">
        <v>1469</v>
      </c>
      <c r="V527">
        <v>0</v>
      </c>
      <c r="W527" s="19">
        <v>0</v>
      </c>
      <c r="X527">
        <v>0</v>
      </c>
      <c r="Y527" s="19">
        <v>0</v>
      </c>
      <c r="Z527">
        <v>1</v>
      </c>
      <c r="AA527" s="19">
        <v>1069</v>
      </c>
      <c r="AB527">
        <v>1</v>
      </c>
      <c r="AC527" s="19">
        <v>801</v>
      </c>
      <c r="AD527">
        <v>0</v>
      </c>
      <c r="AE527" s="19">
        <v>0</v>
      </c>
      <c r="AF527">
        <v>0</v>
      </c>
      <c r="AG527" s="19">
        <v>0</v>
      </c>
      <c r="AH527">
        <v>2</v>
      </c>
      <c r="AI527" s="19">
        <v>374</v>
      </c>
      <c r="AJ527">
        <v>1</v>
      </c>
      <c r="AK527" s="19">
        <v>94</v>
      </c>
      <c r="AL527">
        <v>1</v>
      </c>
      <c r="AM527" s="19">
        <v>187</v>
      </c>
      <c r="AN527">
        <v>1</v>
      </c>
      <c r="AO527" s="19">
        <v>200</v>
      </c>
      <c r="AP527">
        <v>1</v>
      </c>
      <c r="AQ527" s="19">
        <v>334</v>
      </c>
    </row>
    <row r="528" spans="1:43" x14ac:dyDescent="0.35">
      <c r="A528" s="18">
        <v>45816</v>
      </c>
      <c r="B528" t="s">
        <v>62</v>
      </c>
      <c r="C528" t="s">
        <v>61</v>
      </c>
      <c r="D528">
        <v>8</v>
      </c>
      <c r="E528">
        <v>3</v>
      </c>
      <c r="F528">
        <v>5</v>
      </c>
      <c r="G528" s="19">
        <v>4213</v>
      </c>
      <c r="H528" s="19">
        <v>2993</v>
      </c>
      <c r="I528" s="19">
        <v>1220</v>
      </c>
      <c r="J528" s="19">
        <v>250</v>
      </c>
      <c r="K528" s="19">
        <v>100</v>
      </c>
      <c r="L528" s="19">
        <v>833</v>
      </c>
      <c r="M528" s="19">
        <v>93</v>
      </c>
      <c r="N528" s="19">
        <v>65</v>
      </c>
      <c r="O528" s="19">
        <f t="shared" si="16"/>
        <v>1341</v>
      </c>
      <c r="P528" s="19">
        <f t="shared" si="17"/>
        <v>2872</v>
      </c>
      <c r="Q528" t="s">
        <v>23</v>
      </c>
      <c r="R528" t="s">
        <v>65</v>
      </c>
      <c r="T528">
        <v>1</v>
      </c>
      <c r="U528" s="19">
        <v>1789</v>
      </c>
      <c r="V528">
        <v>0</v>
      </c>
      <c r="W528" s="19">
        <v>0</v>
      </c>
      <c r="X528">
        <v>0</v>
      </c>
      <c r="Y528" s="19">
        <v>0</v>
      </c>
      <c r="Z528">
        <v>0</v>
      </c>
      <c r="AA528" s="19">
        <v>0</v>
      </c>
      <c r="AB528">
        <v>1</v>
      </c>
      <c r="AC528" s="19">
        <v>976</v>
      </c>
      <c r="AD528">
        <v>0</v>
      </c>
      <c r="AE528" s="19">
        <v>0</v>
      </c>
      <c r="AF528">
        <v>0</v>
      </c>
      <c r="AG528" s="19">
        <v>0</v>
      </c>
      <c r="AH528">
        <v>2</v>
      </c>
      <c r="AI528" s="19">
        <v>455</v>
      </c>
      <c r="AJ528">
        <v>1</v>
      </c>
      <c r="AK528" s="19">
        <v>114</v>
      </c>
      <c r="AL528">
        <v>1</v>
      </c>
      <c r="AM528" s="19">
        <v>228</v>
      </c>
      <c r="AN528">
        <v>1</v>
      </c>
      <c r="AO528" s="19">
        <v>244</v>
      </c>
      <c r="AP528">
        <v>1</v>
      </c>
      <c r="AQ528" s="19">
        <v>407</v>
      </c>
    </row>
    <row r="529" spans="1:43" x14ac:dyDescent="0.35">
      <c r="A529" s="18">
        <v>45817</v>
      </c>
      <c r="B529" t="s">
        <v>52</v>
      </c>
      <c r="C529" t="s">
        <v>53</v>
      </c>
      <c r="D529">
        <v>5</v>
      </c>
      <c r="E529">
        <v>1</v>
      </c>
      <c r="F529">
        <v>4</v>
      </c>
      <c r="G529" s="19">
        <v>2889</v>
      </c>
      <c r="H529" s="19">
        <v>1576</v>
      </c>
      <c r="I529" s="19">
        <v>1313</v>
      </c>
      <c r="J529" s="19">
        <v>250</v>
      </c>
      <c r="K529" s="19">
        <v>100</v>
      </c>
      <c r="L529" s="19">
        <v>833</v>
      </c>
      <c r="M529" s="19">
        <v>64</v>
      </c>
      <c r="N529" s="19">
        <v>40</v>
      </c>
      <c r="O529" s="19">
        <f t="shared" si="16"/>
        <v>1287</v>
      </c>
      <c r="P529" s="19">
        <f t="shared" si="17"/>
        <v>1602</v>
      </c>
      <c r="Q529" t="s">
        <v>27</v>
      </c>
      <c r="R529" t="s">
        <v>65</v>
      </c>
      <c r="T529">
        <v>0</v>
      </c>
      <c r="U529" s="19">
        <v>0</v>
      </c>
      <c r="V529">
        <v>0</v>
      </c>
      <c r="W529" s="19">
        <v>0</v>
      </c>
      <c r="X529">
        <v>0</v>
      </c>
      <c r="Y529" s="19">
        <v>0</v>
      </c>
      <c r="Z529">
        <v>0</v>
      </c>
      <c r="AA529" s="19">
        <v>0</v>
      </c>
      <c r="AB529">
        <v>1</v>
      </c>
      <c r="AC529" s="19">
        <v>1576</v>
      </c>
      <c r="AD529">
        <v>0</v>
      </c>
      <c r="AE529" s="19">
        <v>0</v>
      </c>
      <c r="AF529">
        <v>0</v>
      </c>
      <c r="AG529" s="19">
        <v>0</v>
      </c>
      <c r="AH529">
        <v>1</v>
      </c>
      <c r="AI529" s="19">
        <v>368</v>
      </c>
      <c r="AJ529">
        <v>1</v>
      </c>
      <c r="AK529" s="19">
        <v>184</v>
      </c>
      <c r="AL529">
        <v>1</v>
      </c>
      <c r="AM529" s="19">
        <v>368</v>
      </c>
      <c r="AN529">
        <v>1</v>
      </c>
      <c r="AO529" s="19">
        <v>394</v>
      </c>
      <c r="AP529">
        <v>0</v>
      </c>
      <c r="AQ529" s="19">
        <v>0</v>
      </c>
    </row>
    <row r="530" spans="1:43" x14ac:dyDescent="0.35">
      <c r="A530" s="18">
        <v>45818</v>
      </c>
      <c r="B530" t="s">
        <v>56</v>
      </c>
      <c r="C530" t="s">
        <v>53</v>
      </c>
      <c r="D530">
        <v>6</v>
      </c>
      <c r="E530">
        <v>2</v>
      </c>
      <c r="F530">
        <v>4</v>
      </c>
      <c r="G530" s="19">
        <v>3294</v>
      </c>
      <c r="H530" s="19">
        <v>2545</v>
      </c>
      <c r="I530" s="19">
        <v>749</v>
      </c>
      <c r="J530" s="19">
        <v>250</v>
      </c>
      <c r="K530" s="19">
        <v>100</v>
      </c>
      <c r="L530" s="19">
        <v>833</v>
      </c>
      <c r="M530" s="19">
        <v>73</v>
      </c>
      <c r="N530" s="19">
        <v>49</v>
      </c>
      <c r="O530" s="19">
        <f t="shared" si="16"/>
        <v>1305</v>
      </c>
      <c r="P530" s="19">
        <f t="shared" si="17"/>
        <v>1989</v>
      </c>
      <c r="Q530" t="s">
        <v>23</v>
      </c>
      <c r="R530" t="s">
        <v>65</v>
      </c>
      <c r="T530">
        <v>1</v>
      </c>
      <c r="U530" s="19">
        <v>1647</v>
      </c>
      <c r="V530">
        <v>0</v>
      </c>
      <c r="W530" s="19">
        <v>0</v>
      </c>
      <c r="X530">
        <v>0</v>
      </c>
      <c r="Y530" s="19">
        <v>0</v>
      </c>
      <c r="Z530">
        <v>0</v>
      </c>
      <c r="AA530" s="19">
        <v>0</v>
      </c>
      <c r="AB530">
        <v>1</v>
      </c>
      <c r="AC530" s="19">
        <v>898</v>
      </c>
      <c r="AD530">
        <v>0</v>
      </c>
      <c r="AE530" s="19">
        <v>0</v>
      </c>
      <c r="AF530">
        <v>0</v>
      </c>
      <c r="AG530" s="19">
        <v>0</v>
      </c>
      <c r="AH530">
        <v>1</v>
      </c>
      <c r="AI530" s="19">
        <v>210</v>
      </c>
      <c r="AJ530">
        <v>1</v>
      </c>
      <c r="AK530" s="19">
        <v>105</v>
      </c>
      <c r="AL530">
        <v>1</v>
      </c>
      <c r="AM530" s="19">
        <v>210</v>
      </c>
      <c r="AN530">
        <v>1</v>
      </c>
      <c r="AO530" s="19">
        <v>225</v>
      </c>
      <c r="AP530">
        <v>0</v>
      </c>
      <c r="AQ530" s="19">
        <v>0</v>
      </c>
    </row>
    <row r="531" spans="1:43" x14ac:dyDescent="0.35">
      <c r="A531" s="18">
        <v>45819</v>
      </c>
      <c r="B531" t="s">
        <v>57</v>
      </c>
      <c r="C531" t="s">
        <v>53</v>
      </c>
      <c r="D531">
        <v>6</v>
      </c>
      <c r="E531">
        <v>2</v>
      </c>
      <c r="F531">
        <v>4</v>
      </c>
      <c r="G531" s="19">
        <v>3529</v>
      </c>
      <c r="H531" s="19">
        <v>2727</v>
      </c>
      <c r="I531" s="19">
        <v>802</v>
      </c>
      <c r="J531" s="19">
        <v>250</v>
      </c>
      <c r="K531" s="19">
        <v>100</v>
      </c>
      <c r="L531" s="19">
        <v>833</v>
      </c>
      <c r="M531" s="19">
        <v>78</v>
      </c>
      <c r="N531" s="19">
        <v>49</v>
      </c>
      <c r="O531" s="19">
        <f t="shared" si="16"/>
        <v>1310</v>
      </c>
      <c r="P531" s="19">
        <f t="shared" si="17"/>
        <v>2219</v>
      </c>
      <c r="Q531" t="s">
        <v>23</v>
      </c>
      <c r="R531" t="s">
        <v>65</v>
      </c>
      <c r="T531">
        <v>1</v>
      </c>
      <c r="U531" s="19">
        <v>1764</v>
      </c>
      <c r="V531">
        <v>0</v>
      </c>
      <c r="W531" s="19">
        <v>0</v>
      </c>
      <c r="X531">
        <v>0</v>
      </c>
      <c r="Y531" s="19">
        <v>0</v>
      </c>
      <c r="Z531">
        <v>0</v>
      </c>
      <c r="AA531" s="19">
        <v>0</v>
      </c>
      <c r="AB531">
        <v>1</v>
      </c>
      <c r="AC531" s="19">
        <v>962</v>
      </c>
      <c r="AD531">
        <v>0</v>
      </c>
      <c r="AE531" s="19">
        <v>0</v>
      </c>
      <c r="AF531">
        <v>0</v>
      </c>
      <c r="AG531" s="19">
        <v>0</v>
      </c>
      <c r="AH531">
        <v>1</v>
      </c>
      <c r="AI531" s="19">
        <v>225</v>
      </c>
      <c r="AJ531">
        <v>1</v>
      </c>
      <c r="AK531" s="19">
        <v>112</v>
      </c>
      <c r="AL531">
        <v>1</v>
      </c>
      <c r="AM531" s="19">
        <v>225</v>
      </c>
      <c r="AN531">
        <v>1</v>
      </c>
      <c r="AO531" s="19">
        <v>241</v>
      </c>
      <c r="AP531">
        <v>0</v>
      </c>
      <c r="AQ531" s="19">
        <v>0</v>
      </c>
    </row>
    <row r="532" spans="1:43" x14ac:dyDescent="0.35">
      <c r="A532" s="18">
        <v>45820</v>
      </c>
      <c r="B532" t="s">
        <v>58</v>
      </c>
      <c r="C532" t="s">
        <v>53</v>
      </c>
      <c r="D532">
        <v>6</v>
      </c>
      <c r="E532">
        <v>2</v>
      </c>
      <c r="F532">
        <v>4</v>
      </c>
      <c r="G532" s="19">
        <v>3389</v>
      </c>
      <c r="H532" s="19">
        <v>2619</v>
      </c>
      <c r="I532" s="19">
        <v>770</v>
      </c>
      <c r="J532" s="19">
        <v>250</v>
      </c>
      <c r="K532" s="19">
        <v>100</v>
      </c>
      <c r="L532" s="19">
        <v>833</v>
      </c>
      <c r="M532" s="19">
        <v>75</v>
      </c>
      <c r="N532" s="19">
        <v>49</v>
      </c>
      <c r="O532" s="19">
        <f t="shared" si="16"/>
        <v>1307</v>
      </c>
      <c r="P532" s="19">
        <f t="shared" si="17"/>
        <v>2082</v>
      </c>
      <c r="Q532" t="s">
        <v>23</v>
      </c>
      <c r="R532" t="s">
        <v>65</v>
      </c>
      <c r="T532">
        <v>1</v>
      </c>
      <c r="U532" s="19">
        <v>1694</v>
      </c>
      <c r="V532">
        <v>0</v>
      </c>
      <c r="W532" s="19">
        <v>0</v>
      </c>
      <c r="X532">
        <v>0</v>
      </c>
      <c r="Y532" s="19">
        <v>0</v>
      </c>
      <c r="Z532">
        <v>0</v>
      </c>
      <c r="AA532" s="19">
        <v>0</v>
      </c>
      <c r="AB532">
        <v>1</v>
      </c>
      <c r="AC532" s="19">
        <v>924</v>
      </c>
      <c r="AD532">
        <v>0</v>
      </c>
      <c r="AE532" s="19">
        <v>0</v>
      </c>
      <c r="AF532">
        <v>0</v>
      </c>
      <c r="AG532" s="19">
        <v>0</v>
      </c>
      <c r="AH532">
        <v>1</v>
      </c>
      <c r="AI532" s="19">
        <v>216</v>
      </c>
      <c r="AJ532">
        <v>1</v>
      </c>
      <c r="AK532" s="19">
        <v>108</v>
      </c>
      <c r="AL532">
        <v>1</v>
      </c>
      <c r="AM532" s="19">
        <v>216</v>
      </c>
      <c r="AN532">
        <v>1</v>
      </c>
      <c r="AO532" s="19">
        <v>231</v>
      </c>
      <c r="AP532">
        <v>0</v>
      </c>
      <c r="AQ532" s="19">
        <v>0</v>
      </c>
    </row>
    <row r="533" spans="1:43" x14ac:dyDescent="0.35">
      <c r="A533" s="18">
        <v>45821</v>
      </c>
      <c r="B533" t="s">
        <v>59</v>
      </c>
      <c r="C533" t="s">
        <v>53</v>
      </c>
      <c r="D533">
        <v>7</v>
      </c>
      <c r="E533">
        <v>2</v>
      </c>
      <c r="F533">
        <v>5</v>
      </c>
      <c r="G533" s="19">
        <v>3650</v>
      </c>
      <c r="H533" s="19">
        <v>2533</v>
      </c>
      <c r="I533" s="19">
        <v>1117</v>
      </c>
      <c r="J533" s="19">
        <v>250</v>
      </c>
      <c r="K533" s="19">
        <v>100</v>
      </c>
      <c r="L533" s="19">
        <v>833</v>
      </c>
      <c r="M533" s="19">
        <v>81</v>
      </c>
      <c r="N533" s="19">
        <v>57</v>
      </c>
      <c r="O533" s="19">
        <f t="shared" si="16"/>
        <v>1321</v>
      </c>
      <c r="P533" s="19">
        <f t="shared" si="17"/>
        <v>2329</v>
      </c>
      <c r="Q533" t="s">
        <v>23</v>
      </c>
      <c r="R533" t="s">
        <v>65</v>
      </c>
      <c r="T533">
        <v>1</v>
      </c>
      <c r="U533" s="19">
        <v>1639</v>
      </c>
      <c r="V533">
        <v>0</v>
      </c>
      <c r="W533" s="19">
        <v>0</v>
      </c>
      <c r="X533">
        <v>0</v>
      </c>
      <c r="Y533" s="19">
        <v>0</v>
      </c>
      <c r="Z533">
        <v>0</v>
      </c>
      <c r="AA533" s="19">
        <v>0</v>
      </c>
      <c r="AB533">
        <v>1</v>
      </c>
      <c r="AC533" s="19">
        <v>894</v>
      </c>
      <c r="AD533">
        <v>0</v>
      </c>
      <c r="AE533" s="19">
        <v>0</v>
      </c>
      <c r="AF533">
        <v>0</v>
      </c>
      <c r="AG533" s="19">
        <v>0</v>
      </c>
      <c r="AH533">
        <v>1</v>
      </c>
      <c r="AI533" s="19">
        <v>209</v>
      </c>
      <c r="AJ533">
        <v>1</v>
      </c>
      <c r="AK533" s="19">
        <v>104</v>
      </c>
      <c r="AL533">
        <v>1</v>
      </c>
      <c r="AM533" s="19">
        <v>209</v>
      </c>
      <c r="AN533">
        <v>1</v>
      </c>
      <c r="AO533" s="19">
        <v>223</v>
      </c>
      <c r="AP533">
        <v>1</v>
      </c>
      <c r="AQ533" s="19">
        <v>372</v>
      </c>
    </row>
    <row r="534" spans="1:43" x14ac:dyDescent="0.35">
      <c r="A534" s="18">
        <v>45822</v>
      </c>
      <c r="B534" t="s">
        <v>60</v>
      </c>
      <c r="C534" t="s">
        <v>61</v>
      </c>
      <c r="D534">
        <v>8</v>
      </c>
      <c r="E534">
        <v>3</v>
      </c>
      <c r="F534">
        <v>5</v>
      </c>
      <c r="G534" s="19">
        <v>4345</v>
      </c>
      <c r="H534" s="19">
        <v>3342</v>
      </c>
      <c r="I534" s="19">
        <v>1003</v>
      </c>
      <c r="J534" s="19">
        <v>250</v>
      </c>
      <c r="K534" s="19">
        <v>100</v>
      </c>
      <c r="L534" s="19">
        <v>833</v>
      </c>
      <c r="M534" s="19">
        <v>96</v>
      </c>
      <c r="N534" s="19">
        <v>65</v>
      </c>
      <c r="O534" s="19">
        <f t="shared" si="16"/>
        <v>1344</v>
      </c>
      <c r="P534" s="19">
        <f t="shared" si="17"/>
        <v>3001</v>
      </c>
      <c r="Q534" t="s">
        <v>23</v>
      </c>
      <c r="R534" t="s">
        <v>65</v>
      </c>
      <c r="T534">
        <v>1</v>
      </c>
      <c r="U534" s="19">
        <v>1471</v>
      </c>
      <c r="V534">
        <v>0</v>
      </c>
      <c r="W534" s="19">
        <v>0</v>
      </c>
      <c r="X534">
        <v>0</v>
      </c>
      <c r="Y534" s="19">
        <v>0</v>
      </c>
      <c r="Z534">
        <v>1</v>
      </c>
      <c r="AA534" s="19">
        <v>1070</v>
      </c>
      <c r="AB534">
        <v>1</v>
      </c>
      <c r="AC534" s="19">
        <v>802</v>
      </c>
      <c r="AD534">
        <v>0</v>
      </c>
      <c r="AE534" s="19">
        <v>0</v>
      </c>
      <c r="AF534">
        <v>0</v>
      </c>
      <c r="AG534" s="19">
        <v>0</v>
      </c>
      <c r="AH534">
        <v>1</v>
      </c>
      <c r="AI534" s="19">
        <v>187</v>
      </c>
      <c r="AJ534">
        <v>1</v>
      </c>
      <c r="AK534" s="19">
        <v>94</v>
      </c>
      <c r="AL534">
        <v>1</v>
      </c>
      <c r="AM534" s="19">
        <v>187</v>
      </c>
      <c r="AN534">
        <v>1</v>
      </c>
      <c r="AO534" s="19">
        <v>201</v>
      </c>
      <c r="AP534">
        <v>1</v>
      </c>
      <c r="AQ534" s="19">
        <v>334</v>
      </c>
    </row>
    <row r="535" spans="1:43" x14ac:dyDescent="0.35">
      <c r="A535" s="18">
        <v>45823</v>
      </c>
      <c r="B535" t="s">
        <v>62</v>
      </c>
      <c r="C535" t="s">
        <v>61</v>
      </c>
      <c r="D535">
        <v>8</v>
      </c>
      <c r="E535">
        <v>3</v>
      </c>
      <c r="F535">
        <v>5</v>
      </c>
      <c r="G535" s="19">
        <v>4155</v>
      </c>
      <c r="H535" s="19">
        <v>3196</v>
      </c>
      <c r="I535" s="19">
        <v>959</v>
      </c>
      <c r="J535" s="19">
        <v>250</v>
      </c>
      <c r="K535" s="19">
        <v>100</v>
      </c>
      <c r="L535" s="19">
        <v>833</v>
      </c>
      <c r="M535" s="19">
        <v>92</v>
      </c>
      <c r="N535" s="19">
        <v>65</v>
      </c>
      <c r="O535" s="19">
        <f t="shared" si="16"/>
        <v>1340</v>
      </c>
      <c r="P535" s="19">
        <f t="shared" si="17"/>
        <v>2815</v>
      </c>
      <c r="Q535" t="s">
        <v>23</v>
      </c>
      <c r="R535" t="s">
        <v>65</v>
      </c>
      <c r="T535">
        <v>1</v>
      </c>
      <c r="U535" s="19">
        <v>1406</v>
      </c>
      <c r="V535">
        <v>0</v>
      </c>
      <c r="W535" s="19">
        <v>0</v>
      </c>
      <c r="X535">
        <v>0</v>
      </c>
      <c r="Y535" s="19">
        <v>0</v>
      </c>
      <c r="Z535">
        <v>1</v>
      </c>
      <c r="AA535" s="19">
        <v>1023</v>
      </c>
      <c r="AB535">
        <v>1</v>
      </c>
      <c r="AC535" s="19">
        <v>767</v>
      </c>
      <c r="AD535">
        <v>0</v>
      </c>
      <c r="AE535" s="19">
        <v>0</v>
      </c>
      <c r="AF535">
        <v>0</v>
      </c>
      <c r="AG535" s="19">
        <v>0</v>
      </c>
      <c r="AH535">
        <v>1</v>
      </c>
      <c r="AI535" s="19">
        <v>179</v>
      </c>
      <c r="AJ535">
        <v>1</v>
      </c>
      <c r="AK535" s="19">
        <v>89</v>
      </c>
      <c r="AL535">
        <v>1</v>
      </c>
      <c r="AM535" s="19">
        <v>179</v>
      </c>
      <c r="AN535">
        <v>1</v>
      </c>
      <c r="AO535" s="19">
        <v>192</v>
      </c>
      <c r="AP535">
        <v>1</v>
      </c>
      <c r="AQ535" s="19">
        <v>320</v>
      </c>
    </row>
    <row r="536" spans="1:43" x14ac:dyDescent="0.35">
      <c r="A536" s="18">
        <v>45824</v>
      </c>
      <c r="B536" t="s">
        <v>52</v>
      </c>
      <c r="C536" t="s">
        <v>53</v>
      </c>
      <c r="D536">
        <v>6</v>
      </c>
      <c r="E536">
        <v>1</v>
      </c>
      <c r="F536">
        <v>5</v>
      </c>
      <c r="G536" s="19">
        <v>3148</v>
      </c>
      <c r="H536" s="19">
        <v>1399</v>
      </c>
      <c r="I536" s="19">
        <v>1749</v>
      </c>
      <c r="J536" s="19">
        <v>250</v>
      </c>
      <c r="K536" s="19">
        <v>100</v>
      </c>
      <c r="L536" s="19">
        <v>833</v>
      </c>
      <c r="M536" s="19">
        <v>69</v>
      </c>
      <c r="N536" s="19">
        <v>49</v>
      </c>
      <c r="O536" s="19">
        <f t="shared" si="16"/>
        <v>1301</v>
      </c>
      <c r="P536" s="19">
        <f t="shared" si="17"/>
        <v>1847</v>
      </c>
      <c r="Q536" t="s">
        <v>27</v>
      </c>
      <c r="R536" t="s">
        <v>65</v>
      </c>
      <c r="T536">
        <v>0</v>
      </c>
      <c r="U536" s="19">
        <v>0</v>
      </c>
      <c r="V536">
        <v>0</v>
      </c>
      <c r="W536" s="19">
        <v>0</v>
      </c>
      <c r="X536">
        <v>0</v>
      </c>
      <c r="Y536" s="19">
        <v>0</v>
      </c>
      <c r="Z536">
        <v>0</v>
      </c>
      <c r="AA536" s="19">
        <v>0</v>
      </c>
      <c r="AB536">
        <v>1</v>
      </c>
      <c r="AC536" s="19">
        <v>1399</v>
      </c>
      <c r="AD536">
        <v>0</v>
      </c>
      <c r="AE536" s="19">
        <v>0</v>
      </c>
      <c r="AF536">
        <v>0</v>
      </c>
      <c r="AG536" s="19">
        <v>0</v>
      </c>
      <c r="AH536">
        <v>1</v>
      </c>
      <c r="AI536" s="19">
        <v>326</v>
      </c>
      <c r="AJ536">
        <v>1</v>
      </c>
      <c r="AK536" s="19">
        <v>163</v>
      </c>
      <c r="AL536">
        <v>1</v>
      </c>
      <c r="AM536" s="19">
        <v>326</v>
      </c>
      <c r="AN536">
        <v>1</v>
      </c>
      <c r="AO536" s="19">
        <v>350</v>
      </c>
      <c r="AP536">
        <v>1</v>
      </c>
      <c r="AQ536" s="19">
        <v>583</v>
      </c>
    </row>
    <row r="537" spans="1:43" x14ac:dyDescent="0.35">
      <c r="A537" s="18">
        <v>45825</v>
      </c>
      <c r="B537" t="s">
        <v>56</v>
      </c>
      <c r="C537" t="s">
        <v>53</v>
      </c>
      <c r="D537">
        <v>6</v>
      </c>
      <c r="E537">
        <v>2</v>
      </c>
      <c r="F537">
        <v>4</v>
      </c>
      <c r="G537" s="19">
        <v>3020</v>
      </c>
      <c r="H537" s="19">
        <v>2334</v>
      </c>
      <c r="I537" s="19">
        <v>686</v>
      </c>
      <c r="J537" s="19">
        <v>250</v>
      </c>
      <c r="K537" s="19">
        <v>100</v>
      </c>
      <c r="L537" s="19">
        <v>833</v>
      </c>
      <c r="M537" s="19">
        <v>67</v>
      </c>
      <c r="N537" s="19">
        <v>49</v>
      </c>
      <c r="O537" s="19">
        <f t="shared" si="16"/>
        <v>1299</v>
      </c>
      <c r="P537" s="19">
        <f t="shared" si="17"/>
        <v>1721</v>
      </c>
      <c r="Q537" t="s">
        <v>23</v>
      </c>
      <c r="R537" t="s">
        <v>65</v>
      </c>
      <c r="T537">
        <v>1</v>
      </c>
      <c r="U537" s="19">
        <v>1510</v>
      </c>
      <c r="V537">
        <v>0</v>
      </c>
      <c r="W537" s="19">
        <v>0</v>
      </c>
      <c r="X537">
        <v>0</v>
      </c>
      <c r="Y537" s="19">
        <v>0</v>
      </c>
      <c r="Z537">
        <v>0</v>
      </c>
      <c r="AA537" s="19">
        <v>0</v>
      </c>
      <c r="AB537">
        <v>1</v>
      </c>
      <c r="AC537" s="19">
        <v>824</v>
      </c>
      <c r="AD537">
        <v>0</v>
      </c>
      <c r="AE537" s="19">
        <v>0</v>
      </c>
      <c r="AF537">
        <v>0</v>
      </c>
      <c r="AG537" s="19">
        <v>0</v>
      </c>
      <c r="AH537">
        <v>1</v>
      </c>
      <c r="AI537" s="19">
        <v>192</v>
      </c>
      <c r="AJ537">
        <v>1</v>
      </c>
      <c r="AK537" s="19">
        <v>96</v>
      </c>
      <c r="AL537">
        <v>1</v>
      </c>
      <c r="AM537" s="19">
        <v>192</v>
      </c>
      <c r="AN537">
        <v>1</v>
      </c>
      <c r="AO537" s="19">
        <v>206</v>
      </c>
      <c r="AP537">
        <v>0</v>
      </c>
      <c r="AQ537" s="19">
        <v>0</v>
      </c>
    </row>
    <row r="538" spans="1:43" x14ac:dyDescent="0.35">
      <c r="A538" s="18">
        <v>45826</v>
      </c>
      <c r="B538" t="s">
        <v>57</v>
      </c>
      <c r="C538" t="s">
        <v>53</v>
      </c>
      <c r="D538">
        <v>6</v>
      </c>
      <c r="E538">
        <v>2</v>
      </c>
      <c r="F538">
        <v>4</v>
      </c>
      <c r="G538" s="19">
        <v>3077</v>
      </c>
      <c r="H538" s="19">
        <v>2378</v>
      </c>
      <c r="I538" s="19">
        <v>699</v>
      </c>
      <c r="J538" s="19">
        <v>250</v>
      </c>
      <c r="K538" s="19">
        <v>100</v>
      </c>
      <c r="L538" s="19">
        <v>833</v>
      </c>
      <c r="M538" s="19">
        <v>68</v>
      </c>
      <c r="N538" s="19">
        <v>49</v>
      </c>
      <c r="O538" s="19">
        <f t="shared" si="16"/>
        <v>1300</v>
      </c>
      <c r="P538" s="19">
        <f t="shared" si="17"/>
        <v>1777</v>
      </c>
      <c r="Q538" t="s">
        <v>23</v>
      </c>
      <c r="R538" t="s">
        <v>65</v>
      </c>
      <c r="T538">
        <v>1</v>
      </c>
      <c r="U538" s="19">
        <v>1538</v>
      </c>
      <c r="V538">
        <v>0</v>
      </c>
      <c r="W538" s="19">
        <v>0</v>
      </c>
      <c r="X538">
        <v>0</v>
      </c>
      <c r="Y538" s="19">
        <v>0</v>
      </c>
      <c r="Z538">
        <v>0</v>
      </c>
      <c r="AA538" s="19">
        <v>0</v>
      </c>
      <c r="AB538">
        <v>1</v>
      </c>
      <c r="AC538" s="19">
        <v>839</v>
      </c>
      <c r="AD538">
        <v>0</v>
      </c>
      <c r="AE538" s="19">
        <v>0</v>
      </c>
      <c r="AF538">
        <v>0</v>
      </c>
      <c r="AG538" s="19">
        <v>0</v>
      </c>
      <c r="AH538">
        <v>1</v>
      </c>
      <c r="AI538" s="19">
        <v>196</v>
      </c>
      <c r="AJ538">
        <v>1</v>
      </c>
      <c r="AK538" s="19">
        <v>98</v>
      </c>
      <c r="AL538">
        <v>1</v>
      </c>
      <c r="AM538" s="19">
        <v>196</v>
      </c>
      <c r="AN538">
        <v>1</v>
      </c>
      <c r="AO538" s="19">
        <v>210</v>
      </c>
      <c r="AP538">
        <v>0</v>
      </c>
      <c r="AQ538" s="19">
        <v>0</v>
      </c>
    </row>
    <row r="539" spans="1:43" x14ac:dyDescent="0.35">
      <c r="A539" s="18">
        <v>45827</v>
      </c>
      <c r="B539" t="s">
        <v>58</v>
      </c>
      <c r="C539" t="s">
        <v>53</v>
      </c>
      <c r="D539">
        <v>6</v>
      </c>
      <c r="E539">
        <v>2</v>
      </c>
      <c r="F539">
        <v>4</v>
      </c>
      <c r="G539" s="19">
        <v>3460</v>
      </c>
      <c r="H539" s="19">
        <v>2674</v>
      </c>
      <c r="I539" s="19">
        <v>786</v>
      </c>
      <c r="J539" s="19">
        <v>250</v>
      </c>
      <c r="K539" s="19">
        <v>100</v>
      </c>
      <c r="L539" s="19">
        <v>833</v>
      </c>
      <c r="M539" s="19">
        <v>76</v>
      </c>
      <c r="N539" s="19">
        <v>49</v>
      </c>
      <c r="O539" s="19">
        <f t="shared" si="16"/>
        <v>1308</v>
      </c>
      <c r="P539" s="19">
        <f t="shared" si="17"/>
        <v>2152</v>
      </c>
      <c r="Q539" t="s">
        <v>23</v>
      </c>
      <c r="R539" t="s">
        <v>65</v>
      </c>
      <c r="T539">
        <v>1</v>
      </c>
      <c r="U539" s="19">
        <v>1730</v>
      </c>
      <c r="V539">
        <v>0</v>
      </c>
      <c r="W539" s="19">
        <v>0</v>
      </c>
      <c r="X539">
        <v>0</v>
      </c>
      <c r="Y539" s="19">
        <v>0</v>
      </c>
      <c r="Z539">
        <v>0</v>
      </c>
      <c r="AA539" s="19">
        <v>0</v>
      </c>
      <c r="AB539">
        <v>1</v>
      </c>
      <c r="AC539" s="19">
        <v>944</v>
      </c>
      <c r="AD539">
        <v>0</v>
      </c>
      <c r="AE539" s="19">
        <v>0</v>
      </c>
      <c r="AF539">
        <v>0</v>
      </c>
      <c r="AG539" s="19">
        <v>0</v>
      </c>
      <c r="AH539">
        <v>1</v>
      </c>
      <c r="AI539" s="19">
        <v>220</v>
      </c>
      <c r="AJ539">
        <v>1</v>
      </c>
      <c r="AK539" s="19">
        <v>110</v>
      </c>
      <c r="AL539">
        <v>1</v>
      </c>
      <c r="AM539" s="19">
        <v>220</v>
      </c>
      <c r="AN539">
        <v>1</v>
      </c>
      <c r="AO539" s="19">
        <v>236</v>
      </c>
      <c r="AP539">
        <v>0</v>
      </c>
      <c r="AQ539" s="19">
        <v>0</v>
      </c>
    </row>
    <row r="540" spans="1:43" x14ac:dyDescent="0.35">
      <c r="A540" s="18">
        <v>45828</v>
      </c>
      <c r="B540" t="s">
        <v>59</v>
      </c>
      <c r="C540" t="s">
        <v>53</v>
      </c>
      <c r="D540">
        <v>6</v>
      </c>
      <c r="E540">
        <v>2</v>
      </c>
      <c r="F540">
        <v>4</v>
      </c>
      <c r="G540" s="19">
        <v>3536</v>
      </c>
      <c r="H540" s="19">
        <v>2732</v>
      </c>
      <c r="I540" s="19">
        <v>804</v>
      </c>
      <c r="J540" s="19">
        <v>250</v>
      </c>
      <c r="K540" s="19">
        <v>100</v>
      </c>
      <c r="L540" s="19">
        <v>833</v>
      </c>
      <c r="M540" s="19">
        <v>78</v>
      </c>
      <c r="N540" s="19">
        <v>49</v>
      </c>
      <c r="O540" s="19">
        <f t="shared" si="16"/>
        <v>1310</v>
      </c>
      <c r="P540" s="19">
        <f t="shared" si="17"/>
        <v>2226</v>
      </c>
      <c r="Q540" t="s">
        <v>23</v>
      </c>
      <c r="R540" t="s">
        <v>65</v>
      </c>
      <c r="T540">
        <v>1</v>
      </c>
      <c r="U540" s="19">
        <v>1768</v>
      </c>
      <c r="V540">
        <v>0</v>
      </c>
      <c r="W540" s="19">
        <v>0</v>
      </c>
      <c r="X540">
        <v>0</v>
      </c>
      <c r="Y540" s="19">
        <v>0</v>
      </c>
      <c r="Z540">
        <v>0</v>
      </c>
      <c r="AA540" s="19">
        <v>0</v>
      </c>
      <c r="AB540">
        <v>1</v>
      </c>
      <c r="AC540" s="19">
        <v>964</v>
      </c>
      <c r="AD540">
        <v>0</v>
      </c>
      <c r="AE540" s="19">
        <v>0</v>
      </c>
      <c r="AF540">
        <v>0</v>
      </c>
      <c r="AG540" s="19">
        <v>0</v>
      </c>
      <c r="AH540">
        <v>1</v>
      </c>
      <c r="AI540" s="19">
        <v>225</v>
      </c>
      <c r="AJ540">
        <v>1</v>
      </c>
      <c r="AK540" s="19">
        <v>113</v>
      </c>
      <c r="AL540">
        <v>1</v>
      </c>
      <c r="AM540" s="19">
        <v>225</v>
      </c>
      <c r="AN540">
        <v>1</v>
      </c>
      <c r="AO540" s="19">
        <v>241</v>
      </c>
      <c r="AP540">
        <v>0</v>
      </c>
      <c r="AQ540" s="19">
        <v>0</v>
      </c>
    </row>
    <row r="541" spans="1:43" x14ac:dyDescent="0.35">
      <c r="A541" s="18">
        <v>45829</v>
      </c>
      <c r="B541" t="s">
        <v>60</v>
      </c>
      <c r="C541" t="s">
        <v>61</v>
      </c>
      <c r="D541">
        <v>8</v>
      </c>
      <c r="E541">
        <v>3</v>
      </c>
      <c r="F541">
        <v>5</v>
      </c>
      <c r="G541" s="19">
        <v>4390</v>
      </c>
      <c r="H541" s="19">
        <v>3377</v>
      </c>
      <c r="I541" s="19">
        <v>1013</v>
      </c>
      <c r="J541" s="19">
        <v>250</v>
      </c>
      <c r="K541" s="19">
        <v>100</v>
      </c>
      <c r="L541" s="19">
        <v>833</v>
      </c>
      <c r="M541" s="19">
        <v>97</v>
      </c>
      <c r="N541" s="19">
        <v>65</v>
      </c>
      <c r="O541" s="19">
        <f t="shared" si="16"/>
        <v>1345</v>
      </c>
      <c r="P541" s="19">
        <f t="shared" si="17"/>
        <v>3045</v>
      </c>
      <c r="Q541" t="s">
        <v>23</v>
      </c>
      <c r="R541" t="s">
        <v>65</v>
      </c>
      <c r="T541">
        <v>1</v>
      </c>
      <c r="U541" s="19">
        <v>1486</v>
      </c>
      <c r="V541">
        <v>0</v>
      </c>
      <c r="W541" s="19">
        <v>0</v>
      </c>
      <c r="X541">
        <v>0</v>
      </c>
      <c r="Y541" s="19">
        <v>0</v>
      </c>
      <c r="Z541">
        <v>1</v>
      </c>
      <c r="AA541" s="19">
        <v>1081</v>
      </c>
      <c r="AB541">
        <v>1</v>
      </c>
      <c r="AC541" s="19">
        <v>810</v>
      </c>
      <c r="AD541">
        <v>0</v>
      </c>
      <c r="AE541" s="19">
        <v>0</v>
      </c>
      <c r="AF541">
        <v>0</v>
      </c>
      <c r="AG541" s="19">
        <v>0</v>
      </c>
      <c r="AH541">
        <v>1</v>
      </c>
      <c r="AI541" s="19">
        <v>189</v>
      </c>
      <c r="AJ541">
        <v>1</v>
      </c>
      <c r="AK541" s="19">
        <v>95</v>
      </c>
      <c r="AL541">
        <v>1</v>
      </c>
      <c r="AM541" s="19">
        <v>189</v>
      </c>
      <c r="AN541">
        <v>1</v>
      </c>
      <c r="AO541" s="19">
        <v>203</v>
      </c>
      <c r="AP541">
        <v>1</v>
      </c>
      <c r="AQ541" s="19">
        <v>338</v>
      </c>
    </row>
    <row r="542" spans="1:43" x14ac:dyDescent="0.35">
      <c r="A542" s="18">
        <v>45830</v>
      </c>
      <c r="B542" t="s">
        <v>62</v>
      </c>
      <c r="C542" t="s">
        <v>61</v>
      </c>
      <c r="D542">
        <v>8</v>
      </c>
      <c r="E542">
        <v>3</v>
      </c>
      <c r="F542">
        <v>5</v>
      </c>
      <c r="G542" s="19">
        <v>4012</v>
      </c>
      <c r="H542" s="19">
        <v>3086</v>
      </c>
      <c r="I542" s="19">
        <v>926</v>
      </c>
      <c r="J542" s="19">
        <v>250</v>
      </c>
      <c r="K542" s="19">
        <v>100</v>
      </c>
      <c r="L542" s="19">
        <v>833</v>
      </c>
      <c r="M542" s="19">
        <v>88</v>
      </c>
      <c r="N542" s="19">
        <v>65</v>
      </c>
      <c r="O542" s="19">
        <f t="shared" si="16"/>
        <v>1336</v>
      </c>
      <c r="P542" s="19">
        <f t="shared" si="17"/>
        <v>2676</v>
      </c>
      <c r="Q542" t="s">
        <v>23</v>
      </c>
      <c r="R542" t="s">
        <v>65</v>
      </c>
      <c r="T542">
        <v>1</v>
      </c>
      <c r="U542" s="19">
        <v>1358</v>
      </c>
      <c r="V542">
        <v>0</v>
      </c>
      <c r="W542" s="19">
        <v>0</v>
      </c>
      <c r="X542">
        <v>0</v>
      </c>
      <c r="Y542" s="19">
        <v>0</v>
      </c>
      <c r="Z542">
        <v>1</v>
      </c>
      <c r="AA542" s="19">
        <v>988</v>
      </c>
      <c r="AB542">
        <v>1</v>
      </c>
      <c r="AC542" s="19">
        <v>741</v>
      </c>
      <c r="AD542">
        <v>0</v>
      </c>
      <c r="AE542" s="19">
        <v>0</v>
      </c>
      <c r="AF542">
        <v>0</v>
      </c>
      <c r="AG542" s="19">
        <v>0</v>
      </c>
      <c r="AH542">
        <v>1</v>
      </c>
      <c r="AI542" s="19">
        <v>173</v>
      </c>
      <c r="AJ542">
        <v>1</v>
      </c>
      <c r="AK542" s="19">
        <v>86</v>
      </c>
      <c r="AL542">
        <v>1</v>
      </c>
      <c r="AM542" s="19">
        <v>173</v>
      </c>
      <c r="AN542">
        <v>1</v>
      </c>
      <c r="AO542" s="19">
        <v>185</v>
      </c>
      <c r="AP542">
        <v>1</v>
      </c>
      <c r="AQ542" s="19">
        <v>309</v>
      </c>
    </row>
    <row r="543" spans="1:43" x14ac:dyDescent="0.35">
      <c r="A543" s="18">
        <v>45831</v>
      </c>
      <c r="B543" t="s">
        <v>52</v>
      </c>
      <c r="C543" t="s">
        <v>53</v>
      </c>
      <c r="D543">
        <v>6</v>
      </c>
      <c r="E543">
        <v>2</v>
      </c>
      <c r="F543">
        <v>4</v>
      </c>
      <c r="G543" s="19">
        <v>3208</v>
      </c>
      <c r="H543" s="19">
        <v>2479</v>
      </c>
      <c r="I543" s="19">
        <v>729</v>
      </c>
      <c r="J543" s="19">
        <v>250</v>
      </c>
      <c r="K543" s="19">
        <v>100</v>
      </c>
      <c r="L543" s="19">
        <v>833</v>
      </c>
      <c r="M543" s="19">
        <v>71</v>
      </c>
      <c r="N543" s="19">
        <v>49</v>
      </c>
      <c r="O543" s="19">
        <f t="shared" si="16"/>
        <v>1303</v>
      </c>
      <c r="P543" s="19">
        <f t="shared" si="17"/>
        <v>1905</v>
      </c>
      <c r="Q543" t="s">
        <v>23</v>
      </c>
      <c r="R543" t="s">
        <v>65</v>
      </c>
      <c r="T543">
        <v>1</v>
      </c>
      <c r="U543" s="19">
        <v>1604</v>
      </c>
      <c r="V543">
        <v>0</v>
      </c>
      <c r="W543" s="19">
        <v>0</v>
      </c>
      <c r="X543">
        <v>0</v>
      </c>
      <c r="Y543" s="19">
        <v>0</v>
      </c>
      <c r="Z543">
        <v>0</v>
      </c>
      <c r="AA543" s="19">
        <v>0</v>
      </c>
      <c r="AB543">
        <v>1</v>
      </c>
      <c r="AC543" s="19">
        <v>875</v>
      </c>
      <c r="AD543">
        <v>0</v>
      </c>
      <c r="AE543" s="19">
        <v>0</v>
      </c>
      <c r="AF543">
        <v>0</v>
      </c>
      <c r="AG543" s="19">
        <v>0</v>
      </c>
      <c r="AH543">
        <v>1</v>
      </c>
      <c r="AI543" s="19">
        <v>204</v>
      </c>
      <c r="AJ543">
        <v>1</v>
      </c>
      <c r="AK543" s="19">
        <v>102</v>
      </c>
      <c r="AL543">
        <v>1</v>
      </c>
      <c r="AM543" s="19">
        <v>204</v>
      </c>
      <c r="AN543">
        <v>1</v>
      </c>
      <c r="AO543" s="19">
        <v>219</v>
      </c>
      <c r="AP543">
        <v>0</v>
      </c>
      <c r="AQ543" s="19">
        <v>0</v>
      </c>
    </row>
    <row r="544" spans="1:43" x14ac:dyDescent="0.35">
      <c r="A544" s="18">
        <v>45832</v>
      </c>
      <c r="B544" t="s">
        <v>56</v>
      </c>
      <c r="C544" t="s">
        <v>53</v>
      </c>
      <c r="D544">
        <v>6</v>
      </c>
      <c r="E544">
        <v>2</v>
      </c>
      <c r="F544">
        <v>4</v>
      </c>
      <c r="G544" s="19">
        <v>3308</v>
      </c>
      <c r="H544" s="19">
        <v>2556</v>
      </c>
      <c r="I544" s="19">
        <v>752</v>
      </c>
      <c r="J544" s="19">
        <v>250</v>
      </c>
      <c r="K544" s="19">
        <v>100</v>
      </c>
      <c r="L544" s="19">
        <v>833</v>
      </c>
      <c r="M544" s="19">
        <v>73</v>
      </c>
      <c r="N544" s="19">
        <v>49</v>
      </c>
      <c r="O544" s="19">
        <f t="shared" si="16"/>
        <v>1305</v>
      </c>
      <c r="P544" s="19">
        <f t="shared" si="17"/>
        <v>2003</v>
      </c>
      <c r="Q544" t="s">
        <v>23</v>
      </c>
      <c r="R544" t="s">
        <v>65</v>
      </c>
      <c r="T544">
        <v>1</v>
      </c>
      <c r="U544" s="19">
        <v>1654</v>
      </c>
      <c r="V544">
        <v>0</v>
      </c>
      <c r="W544" s="19">
        <v>0</v>
      </c>
      <c r="X544">
        <v>0</v>
      </c>
      <c r="Y544" s="19">
        <v>0</v>
      </c>
      <c r="Z544">
        <v>0</v>
      </c>
      <c r="AA544" s="19">
        <v>0</v>
      </c>
      <c r="AB544">
        <v>1</v>
      </c>
      <c r="AC544" s="19">
        <v>902</v>
      </c>
      <c r="AD544">
        <v>0</v>
      </c>
      <c r="AE544" s="19">
        <v>0</v>
      </c>
      <c r="AF544">
        <v>0</v>
      </c>
      <c r="AG544" s="19">
        <v>0</v>
      </c>
      <c r="AH544">
        <v>1</v>
      </c>
      <c r="AI544" s="19">
        <v>211</v>
      </c>
      <c r="AJ544">
        <v>1</v>
      </c>
      <c r="AK544" s="19">
        <v>105</v>
      </c>
      <c r="AL544">
        <v>1</v>
      </c>
      <c r="AM544" s="19">
        <v>211</v>
      </c>
      <c r="AN544">
        <v>1</v>
      </c>
      <c r="AO544" s="19">
        <v>226</v>
      </c>
      <c r="AP544">
        <v>0</v>
      </c>
      <c r="AQ544" s="19">
        <v>0</v>
      </c>
    </row>
    <row r="545" spans="1:43" x14ac:dyDescent="0.35">
      <c r="A545" s="18">
        <v>45833</v>
      </c>
      <c r="B545" t="s">
        <v>57</v>
      </c>
      <c r="C545" t="s">
        <v>53</v>
      </c>
      <c r="D545">
        <v>6</v>
      </c>
      <c r="E545">
        <v>1</v>
      </c>
      <c r="F545">
        <v>5</v>
      </c>
      <c r="G545" s="19">
        <v>3365</v>
      </c>
      <c r="H545" s="19">
        <v>1496</v>
      </c>
      <c r="I545" s="19">
        <v>1869</v>
      </c>
      <c r="J545" s="19">
        <v>250</v>
      </c>
      <c r="K545" s="19">
        <v>100</v>
      </c>
      <c r="L545" s="19">
        <v>833</v>
      </c>
      <c r="M545" s="19">
        <v>74</v>
      </c>
      <c r="N545" s="19">
        <v>49</v>
      </c>
      <c r="O545" s="19">
        <f t="shared" si="16"/>
        <v>1306</v>
      </c>
      <c r="P545" s="19">
        <f t="shared" si="17"/>
        <v>2059</v>
      </c>
      <c r="Q545" t="s">
        <v>27</v>
      </c>
      <c r="R545" t="s">
        <v>65</v>
      </c>
      <c r="T545">
        <v>0</v>
      </c>
      <c r="U545" s="19">
        <v>0</v>
      </c>
      <c r="V545">
        <v>0</v>
      </c>
      <c r="W545" s="19">
        <v>0</v>
      </c>
      <c r="X545">
        <v>0</v>
      </c>
      <c r="Y545" s="19">
        <v>0</v>
      </c>
      <c r="Z545">
        <v>0</v>
      </c>
      <c r="AA545" s="19">
        <v>0</v>
      </c>
      <c r="AB545">
        <v>1</v>
      </c>
      <c r="AC545" s="19">
        <v>1496</v>
      </c>
      <c r="AD545">
        <v>0</v>
      </c>
      <c r="AE545" s="19">
        <v>0</v>
      </c>
      <c r="AF545">
        <v>0</v>
      </c>
      <c r="AG545" s="19">
        <v>0</v>
      </c>
      <c r="AH545">
        <v>1</v>
      </c>
      <c r="AI545" s="19">
        <v>349</v>
      </c>
      <c r="AJ545">
        <v>1</v>
      </c>
      <c r="AK545" s="19">
        <v>174</v>
      </c>
      <c r="AL545">
        <v>1</v>
      </c>
      <c r="AM545" s="19">
        <v>349</v>
      </c>
      <c r="AN545">
        <v>1</v>
      </c>
      <c r="AO545" s="19">
        <v>374</v>
      </c>
      <c r="AP545">
        <v>1</v>
      </c>
      <c r="AQ545" s="19">
        <v>623</v>
      </c>
    </row>
    <row r="546" spans="1:43" x14ac:dyDescent="0.35">
      <c r="A546" s="18">
        <v>45834</v>
      </c>
      <c r="B546" t="s">
        <v>58</v>
      </c>
      <c r="C546" t="s">
        <v>53</v>
      </c>
      <c r="D546">
        <v>6</v>
      </c>
      <c r="E546">
        <v>2</v>
      </c>
      <c r="F546">
        <v>4</v>
      </c>
      <c r="G546" s="19">
        <v>3310</v>
      </c>
      <c r="H546" s="19">
        <v>2558</v>
      </c>
      <c r="I546" s="19">
        <v>752</v>
      </c>
      <c r="J546" s="19">
        <v>250</v>
      </c>
      <c r="K546" s="19">
        <v>100</v>
      </c>
      <c r="L546" s="19">
        <v>833</v>
      </c>
      <c r="M546" s="19">
        <v>73</v>
      </c>
      <c r="N546" s="19">
        <v>49</v>
      </c>
      <c r="O546" s="19">
        <f t="shared" si="16"/>
        <v>1305</v>
      </c>
      <c r="P546" s="19">
        <f t="shared" si="17"/>
        <v>2005</v>
      </c>
      <c r="Q546" t="s">
        <v>23</v>
      </c>
      <c r="R546" t="s">
        <v>65</v>
      </c>
      <c r="T546">
        <v>1</v>
      </c>
      <c r="U546" s="19">
        <v>1655</v>
      </c>
      <c r="V546">
        <v>0</v>
      </c>
      <c r="W546" s="19">
        <v>0</v>
      </c>
      <c r="X546">
        <v>0</v>
      </c>
      <c r="Y546" s="19">
        <v>0</v>
      </c>
      <c r="Z546">
        <v>0</v>
      </c>
      <c r="AA546" s="19">
        <v>0</v>
      </c>
      <c r="AB546">
        <v>1</v>
      </c>
      <c r="AC546" s="19">
        <v>903</v>
      </c>
      <c r="AD546">
        <v>0</v>
      </c>
      <c r="AE546" s="19">
        <v>0</v>
      </c>
      <c r="AF546">
        <v>0</v>
      </c>
      <c r="AG546" s="19">
        <v>0</v>
      </c>
      <c r="AH546">
        <v>1</v>
      </c>
      <c r="AI546" s="19">
        <v>211</v>
      </c>
      <c r="AJ546">
        <v>1</v>
      </c>
      <c r="AK546" s="19">
        <v>105</v>
      </c>
      <c r="AL546">
        <v>1</v>
      </c>
      <c r="AM546" s="19">
        <v>211</v>
      </c>
      <c r="AN546">
        <v>1</v>
      </c>
      <c r="AO546" s="19">
        <v>226</v>
      </c>
      <c r="AP546">
        <v>0</v>
      </c>
      <c r="AQ546" s="19">
        <v>0</v>
      </c>
    </row>
    <row r="547" spans="1:43" x14ac:dyDescent="0.35">
      <c r="A547" s="18">
        <v>45835</v>
      </c>
      <c r="B547" t="s">
        <v>59</v>
      </c>
      <c r="C547" t="s">
        <v>53</v>
      </c>
      <c r="D547">
        <v>6</v>
      </c>
      <c r="E547">
        <v>1</v>
      </c>
      <c r="F547">
        <v>5</v>
      </c>
      <c r="G547" s="19">
        <v>3431</v>
      </c>
      <c r="H547" s="19">
        <v>1525</v>
      </c>
      <c r="I547" s="19">
        <v>1906</v>
      </c>
      <c r="J547" s="19">
        <v>250</v>
      </c>
      <c r="K547" s="19">
        <v>100</v>
      </c>
      <c r="L547" s="19">
        <v>833</v>
      </c>
      <c r="M547" s="19">
        <v>76</v>
      </c>
      <c r="N547" s="19">
        <v>49</v>
      </c>
      <c r="O547" s="19">
        <f t="shared" si="16"/>
        <v>1308</v>
      </c>
      <c r="P547" s="19">
        <f t="shared" si="17"/>
        <v>2123</v>
      </c>
      <c r="Q547" t="s">
        <v>27</v>
      </c>
      <c r="R547" t="s">
        <v>65</v>
      </c>
      <c r="T547">
        <v>0</v>
      </c>
      <c r="U547" s="19">
        <v>0</v>
      </c>
      <c r="V547">
        <v>0</v>
      </c>
      <c r="W547" s="19">
        <v>0</v>
      </c>
      <c r="X547">
        <v>0</v>
      </c>
      <c r="Y547" s="19">
        <v>0</v>
      </c>
      <c r="Z547">
        <v>0</v>
      </c>
      <c r="AA547" s="19">
        <v>0</v>
      </c>
      <c r="AB547">
        <v>1</v>
      </c>
      <c r="AC547" s="19">
        <v>1525</v>
      </c>
      <c r="AD547">
        <v>0</v>
      </c>
      <c r="AE547" s="19">
        <v>0</v>
      </c>
      <c r="AF547">
        <v>0</v>
      </c>
      <c r="AG547" s="19">
        <v>0</v>
      </c>
      <c r="AH547">
        <v>1</v>
      </c>
      <c r="AI547" s="19">
        <v>356</v>
      </c>
      <c r="AJ547">
        <v>1</v>
      </c>
      <c r="AK547" s="19">
        <v>178</v>
      </c>
      <c r="AL547">
        <v>1</v>
      </c>
      <c r="AM547" s="19">
        <v>356</v>
      </c>
      <c r="AN547">
        <v>1</v>
      </c>
      <c r="AO547" s="19">
        <v>381</v>
      </c>
      <c r="AP547">
        <v>1</v>
      </c>
      <c r="AQ547" s="19">
        <v>635</v>
      </c>
    </row>
    <row r="548" spans="1:43" x14ac:dyDescent="0.35">
      <c r="A548" s="18">
        <v>45836</v>
      </c>
      <c r="B548" t="s">
        <v>60</v>
      </c>
      <c r="C548" t="s">
        <v>61</v>
      </c>
      <c r="D548">
        <v>8</v>
      </c>
      <c r="E548">
        <v>3</v>
      </c>
      <c r="F548">
        <v>5</v>
      </c>
      <c r="G548" s="19">
        <v>4227</v>
      </c>
      <c r="H548" s="19">
        <v>3003</v>
      </c>
      <c r="I548" s="19">
        <v>1224</v>
      </c>
      <c r="J548" s="19">
        <v>250</v>
      </c>
      <c r="K548" s="19">
        <v>100</v>
      </c>
      <c r="L548" s="19">
        <v>833</v>
      </c>
      <c r="M548" s="19">
        <v>93</v>
      </c>
      <c r="N548" s="19">
        <v>65</v>
      </c>
      <c r="O548" s="19">
        <f t="shared" si="16"/>
        <v>1341</v>
      </c>
      <c r="P548" s="19">
        <f t="shared" si="17"/>
        <v>2886</v>
      </c>
      <c r="Q548" t="s">
        <v>23</v>
      </c>
      <c r="R548" t="s">
        <v>65</v>
      </c>
      <c r="T548">
        <v>1</v>
      </c>
      <c r="U548" s="19">
        <v>1795</v>
      </c>
      <c r="V548">
        <v>0</v>
      </c>
      <c r="W548" s="19">
        <v>0</v>
      </c>
      <c r="X548">
        <v>0</v>
      </c>
      <c r="Y548" s="19">
        <v>0</v>
      </c>
      <c r="Z548">
        <v>0</v>
      </c>
      <c r="AA548" s="19">
        <v>0</v>
      </c>
      <c r="AB548">
        <v>1</v>
      </c>
      <c r="AC548" s="19">
        <v>979</v>
      </c>
      <c r="AD548">
        <v>0</v>
      </c>
      <c r="AE548" s="19">
        <v>0</v>
      </c>
      <c r="AF548">
        <v>0</v>
      </c>
      <c r="AG548" s="19">
        <v>0</v>
      </c>
      <c r="AH548">
        <v>2</v>
      </c>
      <c r="AI548" s="19">
        <v>457</v>
      </c>
      <c r="AJ548">
        <v>1</v>
      </c>
      <c r="AK548" s="19">
        <v>114</v>
      </c>
      <c r="AL548">
        <v>1</v>
      </c>
      <c r="AM548" s="19">
        <v>228</v>
      </c>
      <c r="AN548">
        <v>1</v>
      </c>
      <c r="AO548" s="19">
        <v>245</v>
      </c>
      <c r="AP548">
        <v>1</v>
      </c>
      <c r="AQ548" s="19">
        <v>408</v>
      </c>
    </row>
    <row r="549" spans="1:43" x14ac:dyDescent="0.35">
      <c r="A549" s="18">
        <v>45837</v>
      </c>
      <c r="B549" t="s">
        <v>62</v>
      </c>
      <c r="C549" t="s">
        <v>61</v>
      </c>
      <c r="D549">
        <v>8</v>
      </c>
      <c r="E549">
        <v>3</v>
      </c>
      <c r="F549">
        <v>5</v>
      </c>
      <c r="G549" s="19">
        <v>4050</v>
      </c>
      <c r="H549" s="19">
        <v>2877</v>
      </c>
      <c r="I549" s="19">
        <v>1173</v>
      </c>
      <c r="J549" s="19">
        <v>250</v>
      </c>
      <c r="K549" s="19">
        <v>100</v>
      </c>
      <c r="L549" s="19">
        <v>833</v>
      </c>
      <c r="M549" s="19">
        <v>89</v>
      </c>
      <c r="N549" s="19">
        <v>65</v>
      </c>
      <c r="O549" s="19">
        <f t="shared" si="16"/>
        <v>1337</v>
      </c>
      <c r="P549" s="19">
        <f t="shared" si="17"/>
        <v>2713</v>
      </c>
      <c r="Q549" t="s">
        <v>23</v>
      </c>
      <c r="R549" t="s">
        <v>65</v>
      </c>
      <c r="T549">
        <v>1</v>
      </c>
      <c r="U549" s="19">
        <v>1720</v>
      </c>
      <c r="V549">
        <v>0</v>
      </c>
      <c r="W549" s="19">
        <v>0</v>
      </c>
      <c r="X549">
        <v>0</v>
      </c>
      <c r="Y549" s="19">
        <v>0</v>
      </c>
      <c r="Z549">
        <v>0</v>
      </c>
      <c r="AA549" s="19">
        <v>0</v>
      </c>
      <c r="AB549">
        <v>1</v>
      </c>
      <c r="AC549" s="19">
        <v>938</v>
      </c>
      <c r="AD549">
        <v>0</v>
      </c>
      <c r="AE549" s="19">
        <v>0</v>
      </c>
      <c r="AF549">
        <v>0</v>
      </c>
      <c r="AG549" s="19">
        <v>0</v>
      </c>
      <c r="AH549">
        <v>2</v>
      </c>
      <c r="AI549" s="19">
        <v>438</v>
      </c>
      <c r="AJ549">
        <v>1</v>
      </c>
      <c r="AK549" s="19">
        <v>109</v>
      </c>
      <c r="AL549">
        <v>1</v>
      </c>
      <c r="AM549" s="19">
        <v>219</v>
      </c>
      <c r="AN549">
        <v>1</v>
      </c>
      <c r="AO549" s="19">
        <v>235</v>
      </c>
      <c r="AP549">
        <v>1</v>
      </c>
      <c r="AQ549" s="19">
        <v>391</v>
      </c>
    </row>
    <row r="550" spans="1:43" x14ac:dyDescent="0.35">
      <c r="A550" s="18">
        <v>45838</v>
      </c>
      <c r="B550" t="s">
        <v>52</v>
      </c>
      <c r="C550" t="s">
        <v>53</v>
      </c>
      <c r="D550">
        <v>6</v>
      </c>
      <c r="E550">
        <v>2</v>
      </c>
      <c r="F550">
        <v>4</v>
      </c>
      <c r="G550" s="19">
        <v>2939</v>
      </c>
      <c r="H550" s="19">
        <v>2271</v>
      </c>
      <c r="I550" s="19">
        <v>668</v>
      </c>
      <c r="J550" s="19">
        <v>250</v>
      </c>
      <c r="K550" s="19">
        <v>100</v>
      </c>
      <c r="L550" s="19">
        <v>833</v>
      </c>
      <c r="M550" s="19">
        <v>65</v>
      </c>
      <c r="N550" s="19">
        <v>49</v>
      </c>
      <c r="O550" s="19">
        <f t="shared" si="16"/>
        <v>1297</v>
      </c>
      <c r="P550" s="19">
        <f t="shared" si="17"/>
        <v>1642</v>
      </c>
      <c r="Q550" t="s">
        <v>23</v>
      </c>
      <c r="R550" t="s">
        <v>65</v>
      </c>
      <c r="T550">
        <v>1</v>
      </c>
      <c r="U550" s="19">
        <v>1470</v>
      </c>
      <c r="V550">
        <v>0</v>
      </c>
      <c r="W550" s="19">
        <v>0</v>
      </c>
      <c r="X550">
        <v>0</v>
      </c>
      <c r="Y550" s="19">
        <v>0</v>
      </c>
      <c r="Z550">
        <v>0</v>
      </c>
      <c r="AA550" s="19">
        <v>0</v>
      </c>
      <c r="AB550">
        <v>1</v>
      </c>
      <c r="AC550" s="19">
        <v>802</v>
      </c>
      <c r="AD550">
        <v>0</v>
      </c>
      <c r="AE550" s="19">
        <v>0</v>
      </c>
      <c r="AF550">
        <v>0</v>
      </c>
      <c r="AG550" s="19">
        <v>0</v>
      </c>
      <c r="AH550">
        <v>1</v>
      </c>
      <c r="AI550" s="19">
        <v>187</v>
      </c>
      <c r="AJ550">
        <v>1</v>
      </c>
      <c r="AK550" s="19">
        <v>94</v>
      </c>
      <c r="AL550">
        <v>1</v>
      </c>
      <c r="AM550" s="19">
        <v>187</v>
      </c>
      <c r="AN550">
        <v>1</v>
      </c>
      <c r="AO550" s="19">
        <v>200</v>
      </c>
      <c r="AP550">
        <v>0</v>
      </c>
      <c r="AQ550" s="19">
        <v>0</v>
      </c>
    </row>
    <row r="551" spans="1:43" x14ac:dyDescent="0.35">
      <c r="A551" s="18">
        <v>45839</v>
      </c>
      <c r="B551" t="s">
        <v>56</v>
      </c>
      <c r="C551" t="s">
        <v>53</v>
      </c>
      <c r="D551">
        <v>6</v>
      </c>
      <c r="E551">
        <v>1</v>
      </c>
      <c r="F551">
        <v>5</v>
      </c>
      <c r="G551" s="19">
        <v>3018</v>
      </c>
      <c r="H551" s="19">
        <v>1794</v>
      </c>
      <c r="I551" s="19">
        <v>1224</v>
      </c>
      <c r="J551" s="19">
        <v>235</v>
      </c>
      <c r="K551" s="19">
        <v>94</v>
      </c>
      <c r="L551" s="19">
        <v>806</v>
      </c>
      <c r="M551" s="19">
        <v>67</v>
      </c>
      <c r="N551" s="19">
        <v>49</v>
      </c>
      <c r="O551" s="19">
        <f t="shared" si="16"/>
        <v>1251</v>
      </c>
      <c r="P551" s="19">
        <f t="shared" si="17"/>
        <v>1767</v>
      </c>
      <c r="Q551" t="s">
        <v>23</v>
      </c>
      <c r="R551" t="s">
        <v>65</v>
      </c>
      <c r="T551">
        <v>1</v>
      </c>
      <c r="U551" s="19">
        <v>1794</v>
      </c>
      <c r="V551">
        <v>0</v>
      </c>
      <c r="W551" s="19">
        <v>0</v>
      </c>
      <c r="X551">
        <v>0</v>
      </c>
      <c r="Y551" s="19">
        <v>0</v>
      </c>
      <c r="Z551">
        <v>0</v>
      </c>
      <c r="AA551" s="19">
        <v>0</v>
      </c>
      <c r="AB551">
        <v>0</v>
      </c>
      <c r="AC551" s="19">
        <v>0</v>
      </c>
      <c r="AD551">
        <v>0</v>
      </c>
      <c r="AE551" s="19">
        <v>0</v>
      </c>
      <c r="AF551">
        <v>0</v>
      </c>
      <c r="AG551" s="19">
        <v>0</v>
      </c>
      <c r="AH551">
        <v>1</v>
      </c>
      <c r="AI551" s="19">
        <v>228</v>
      </c>
      <c r="AJ551">
        <v>1</v>
      </c>
      <c r="AK551" s="19">
        <v>114</v>
      </c>
      <c r="AL551">
        <v>1</v>
      </c>
      <c r="AM551" s="19">
        <v>228</v>
      </c>
      <c r="AN551">
        <v>1</v>
      </c>
      <c r="AO551" s="19">
        <v>245</v>
      </c>
      <c r="AP551">
        <v>1</v>
      </c>
      <c r="AQ551" s="19">
        <v>408</v>
      </c>
    </row>
    <row r="552" spans="1:43" x14ac:dyDescent="0.35">
      <c r="A552" s="18">
        <v>45840</v>
      </c>
      <c r="B552" t="s">
        <v>57</v>
      </c>
      <c r="C552" t="s">
        <v>53</v>
      </c>
      <c r="D552">
        <v>6</v>
      </c>
      <c r="E552">
        <v>1</v>
      </c>
      <c r="F552">
        <v>5</v>
      </c>
      <c r="G552" s="19">
        <v>3111</v>
      </c>
      <c r="H552" s="19">
        <v>1383</v>
      </c>
      <c r="I552" s="19">
        <v>1728</v>
      </c>
      <c r="J552" s="19">
        <v>235</v>
      </c>
      <c r="K552" s="19">
        <v>94</v>
      </c>
      <c r="L552" s="19">
        <v>806</v>
      </c>
      <c r="M552" s="19">
        <v>69</v>
      </c>
      <c r="N552" s="19">
        <v>49</v>
      </c>
      <c r="O552" s="19">
        <f t="shared" si="16"/>
        <v>1253</v>
      </c>
      <c r="P552" s="19">
        <f t="shared" si="17"/>
        <v>1858</v>
      </c>
      <c r="Q552" t="s">
        <v>27</v>
      </c>
      <c r="R552" t="s">
        <v>65</v>
      </c>
      <c r="T552">
        <v>0</v>
      </c>
      <c r="U552" s="19">
        <v>0</v>
      </c>
      <c r="V552">
        <v>0</v>
      </c>
      <c r="W552" s="19">
        <v>0</v>
      </c>
      <c r="X552">
        <v>0</v>
      </c>
      <c r="Y552" s="19">
        <v>0</v>
      </c>
      <c r="Z552">
        <v>0</v>
      </c>
      <c r="AA552" s="19">
        <v>0</v>
      </c>
      <c r="AB552">
        <v>1</v>
      </c>
      <c r="AC552" s="19">
        <v>1383</v>
      </c>
      <c r="AD552">
        <v>0</v>
      </c>
      <c r="AE552" s="19">
        <v>0</v>
      </c>
      <c r="AF552">
        <v>0</v>
      </c>
      <c r="AG552" s="19">
        <v>0</v>
      </c>
      <c r="AH552">
        <v>1</v>
      </c>
      <c r="AI552" s="19">
        <v>323</v>
      </c>
      <c r="AJ552">
        <v>1</v>
      </c>
      <c r="AK552" s="19">
        <v>161</v>
      </c>
      <c r="AL552">
        <v>1</v>
      </c>
      <c r="AM552" s="19">
        <v>323</v>
      </c>
      <c r="AN552">
        <v>1</v>
      </c>
      <c r="AO552" s="19">
        <v>346</v>
      </c>
      <c r="AP552">
        <v>1</v>
      </c>
      <c r="AQ552" s="19">
        <v>576</v>
      </c>
    </row>
    <row r="553" spans="1:43" x14ac:dyDescent="0.35">
      <c r="A553" s="18">
        <v>45841</v>
      </c>
      <c r="B553" t="s">
        <v>58</v>
      </c>
      <c r="C553" t="s">
        <v>53</v>
      </c>
      <c r="D553">
        <v>6</v>
      </c>
      <c r="E553">
        <v>2</v>
      </c>
      <c r="F553">
        <v>4</v>
      </c>
      <c r="G553" s="19">
        <v>2975</v>
      </c>
      <c r="H553" s="19">
        <v>2299</v>
      </c>
      <c r="I553" s="19">
        <v>676</v>
      </c>
      <c r="J553" s="19">
        <v>235</v>
      </c>
      <c r="K553" s="19">
        <v>94</v>
      </c>
      <c r="L553" s="19">
        <v>806</v>
      </c>
      <c r="M553" s="19">
        <v>66</v>
      </c>
      <c r="N553" s="19">
        <v>49</v>
      </c>
      <c r="O553" s="19">
        <f t="shared" si="16"/>
        <v>1250</v>
      </c>
      <c r="P553" s="19">
        <f t="shared" si="17"/>
        <v>1725</v>
      </c>
      <c r="Q553" t="s">
        <v>23</v>
      </c>
      <c r="R553" t="s">
        <v>65</v>
      </c>
      <c r="T553">
        <v>1</v>
      </c>
      <c r="U553" s="19">
        <v>1488</v>
      </c>
      <c r="V553">
        <v>0</v>
      </c>
      <c r="W553" s="19">
        <v>0</v>
      </c>
      <c r="X553">
        <v>0</v>
      </c>
      <c r="Y553" s="19">
        <v>0</v>
      </c>
      <c r="Z553">
        <v>0</v>
      </c>
      <c r="AA553" s="19">
        <v>0</v>
      </c>
      <c r="AB553">
        <v>1</v>
      </c>
      <c r="AC553" s="19">
        <v>811</v>
      </c>
      <c r="AD553">
        <v>0</v>
      </c>
      <c r="AE553" s="19">
        <v>0</v>
      </c>
      <c r="AF553">
        <v>0</v>
      </c>
      <c r="AG553" s="19">
        <v>0</v>
      </c>
      <c r="AH553">
        <v>1</v>
      </c>
      <c r="AI553" s="19">
        <v>189</v>
      </c>
      <c r="AJ553">
        <v>1</v>
      </c>
      <c r="AK553" s="19">
        <v>95</v>
      </c>
      <c r="AL553">
        <v>1</v>
      </c>
      <c r="AM553" s="19">
        <v>189</v>
      </c>
      <c r="AN553">
        <v>1</v>
      </c>
      <c r="AO553" s="19">
        <v>203</v>
      </c>
      <c r="AP553">
        <v>0</v>
      </c>
      <c r="AQ553" s="19">
        <v>0</v>
      </c>
    </row>
    <row r="554" spans="1:43" x14ac:dyDescent="0.35">
      <c r="A554" s="18">
        <v>45842</v>
      </c>
      <c r="B554" t="s">
        <v>59</v>
      </c>
      <c r="C554" t="s">
        <v>53</v>
      </c>
      <c r="D554">
        <v>6</v>
      </c>
      <c r="E554">
        <v>2</v>
      </c>
      <c r="F554">
        <v>4</v>
      </c>
      <c r="G554" s="19">
        <v>3383</v>
      </c>
      <c r="H554" s="19">
        <v>2614</v>
      </c>
      <c r="I554" s="19">
        <v>769</v>
      </c>
      <c r="J554" s="19">
        <v>235</v>
      </c>
      <c r="K554" s="19">
        <v>94</v>
      </c>
      <c r="L554" s="19">
        <v>806</v>
      </c>
      <c r="M554" s="19">
        <v>75</v>
      </c>
      <c r="N554" s="19">
        <v>49</v>
      </c>
      <c r="O554" s="19">
        <f t="shared" si="16"/>
        <v>1259</v>
      </c>
      <c r="P554" s="19">
        <f t="shared" si="17"/>
        <v>2124</v>
      </c>
      <c r="Q554" t="s">
        <v>23</v>
      </c>
      <c r="R554" t="s">
        <v>65</v>
      </c>
      <c r="T554">
        <v>1</v>
      </c>
      <c r="U554" s="19">
        <v>1692</v>
      </c>
      <c r="V554">
        <v>0</v>
      </c>
      <c r="W554" s="19">
        <v>0</v>
      </c>
      <c r="X554">
        <v>0</v>
      </c>
      <c r="Y554" s="19">
        <v>0</v>
      </c>
      <c r="Z554">
        <v>0</v>
      </c>
      <c r="AA554" s="19">
        <v>0</v>
      </c>
      <c r="AB554">
        <v>1</v>
      </c>
      <c r="AC554" s="19">
        <v>923</v>
      </c>
      <c r="AD554">
        <v>0</v>
      </c>
      <c r="AE554" s="19">
        <v>0</v>
      </c>
      <c r="AF554">
        <v>0</v>
      </c>
      <c r="AG554" s="19">
        <v>0</v>
      </c>
      <c r="AH554">
        <v>1</v>
      </c>
      <c r="AI554" s="19">
        <v>215</v>
      </c>
      <c r="AJ554">
        <v>1</v>
      </c>
      <c r="AK554" s="19">
        <v>108</v>
      </c>
      <c r="AL554">
        <v>1</v>
      </c>
      <c r="AM554" s="19">
        <v>215</v>
      </c>
      <c r="AN554">
        <v>1</v>
      </c>
      <c r="AO554" s="19">
        <v>231</v>
      </c>
      <c r="AP554">
        <v>0</v>
      </c>
      <c r="AQ554" s="19">
        <v>0</v>
      </c>
    </row>
    <row r="555" spans="1:43" x14ac:dyDescent="0.35">
      <c r="A555" s="18">
        <v>45843</v>
      </c>
      <c r="B555" t="s">
        <v>60</v>
      </c>
      <c r="C555" t="s">
        <v>61</v>
      </c>
      <c r="D555">
        <v>8</v>
      </c>
      <c r="E555">
        <v>3</v>
      </c>
      <c r="F555">
        <v>5</v>
      </c>
      <c r="G555" s="19">
        <v>4086</v>
      </c>
      <c r="H555" s="19">
        <v>3143</v>
      </c>
      <c r="I555" s="19">
        <v>943</v>
      </c>
      <c r="J555" s="19">
        <v>235</v>
      </c>
      <c r="K555" s="19">
        <v>94</v>
      </c>
      <c r="L555" s="19">
        <v>806</v>
      </c>
      <c r="M555" s="19">
        <v>90</v>
      </c>
      <c r="N555" s="19">
        <v>65</v>
      </c>
      <c r="O555" s="19">
        <f t="shared" si="16"/>
        <v>1290</v>
      </c>
      <c r="P555" s="19">
        <f t="shared" si="17"/>
        <v>2796</v>
      </c>
      <c r="Q555" t="s">
        <v>23</v>
      </c>
      <c r="R555" t="s">
        <v>65</v>
      </c>
      <c r="T555">
        <v>1</v>
      </c>
      <c r="U555" s="19">
        <v>1383</v>
      </c>
      <c r="V555">
        <v>0</v>
      </c>
      <c r="W555" s="19">
        <v>0</v>
      </c>
      <c r="X555">
        <v>0</v>
      </c>
      <c r="Y555" s="19">
        <v>0</v>
      </c>
      <c r="Z555">
        <v>1</v>
      </c>
      <c r="AA555" s="19">
        <v>1006</v>
      </c>
      <c r="AB555">
        <v>1</v>
      </c>
      <c r="AC555" s="19">
        <v>754</v>
      </c>
      <c r="AD555">
        <v>0</v>
      </c>
      <c r="AE555" s="19">
        <v>0</v>
      </c>
      <c r="AF555">
        <v>0</v>
      </c>
      <c r="AG555" s="19">
        <v>0</v>
      </c>
      <c r="AH555">
        <v>1</v>
      </c>
      <c r="AI555" s="19">
        <v>176</v>
      </c>
      <c r="AJ555">
        <v>1</v>
      </c>
      <c r="AK555" s="19">
        <v>88</v>
      </c>
      <c r="AL555">
        <v>1</v>
      </c>
      <c r="AM555" s="19">
        <v>176</v>
      </c>
      <c r="AN555">
        <v>1</v>
      </c>
      <c r="AO555" s="19">
        <v>189</v>
      </c>
      <c r="AP555">
        <v>1</v>
      </c>
      <c r="AQ555" s="19">
        <v>314</v>
      </c>
    </row>
    <row r="556" spans="1:43" x14ac:dyDescent="0.35">
      <c r="A556" s="18">
        <v>45844</v>
      </c>
      <c r="B556" t="s">
        <v>62</v>
      </c>
      <c r="C556" t="s">
        <v>61</v>
      </c>
      <c r="D556">
        <v>7</v>
      </c>
      <c r="E556">
        <v>2</v>
      </c>
      <c r="F556">
        <v>5</v>
      </c>
      <c r="G556" s="19">
        <v>3547</v>
      </c>
      <c r="H556" s="19">
        <v>2461</v>
      </c>
      <c r="I556" s="19">
        <v>1086</v>
      </c>
      <c r="J556" s="19">
        <v>235</v>
      </c>
      <c r="K556" s="19">
        <v>94</v>
      </c>
      <c r="L556" s="19">
        <v>806</v>
      </c>
      <c r="M556" s="19">
        <v>78</v>
      </c>
      <c r="N556" s="19">
        <v>57</v>
      </c>
      <c r="O556" s="19">
        <f t="shared" si="16"/>
        <v>1270</v>
      </c>
      <c r="P556" s="19">
        <f t="shared" si="17"/>
        <v>2277</v>
      </c>
      <c r="Q556" t="s">
        <v>23</v>
      </c>
      <c r="R556" t="s">
        <v>65</v>
      </c>
      <c r="T556">
        <v>1</v>
      </c>
      <c r="U556" s="19">
        <v>1593</v>
      </c>
      <c r="V556">
        <v>0</v>
      </c>
      <c r="W556" s="19">
        <v>0</v>
      </c>
      <c r="X556">
        <v>0</v>
      </c>
      <c r="Y556" s="19">
        <v>0</v>
      </c>
      <c r="Z556">
        <v>0</v>
      </c>
      <c r="AA556" s="19">
        <v>0</v>
      </c>
      <c r="AB556">
        <v>1</v>
      </c>
      <c r="AC556" s="19">
        <v>869</v>
      </c>
      <c r="AD556">
        <v>0</v>
      </c>
      <c r="AE556" s="19">
        <v>0</v>
      </c>
      <c r="AF556">
        <v>0</v>
      </c>
      <c r="AG556" s="19">
        <v>0</v>
      </c>
      <c r="AH556">
        <v>1</v>
      </c>
      <c r="AI556" s="19">
        <v>203</v>
      </c>
      <c r="AJ556">
        <v>1</v>
      </c>
      <c r="AK556" s="19">
        <v>101</v>
      </c>
      <c r="AL556">
        <v>1</v>
      </c>
      <c r="AM556" s="19">
        <v>203</v>
      </c>
      <c r="AN556">
        <v>1</v>
      </c>
      <c r="AO556" s="19">
        <v>217</v>
      </c>
      <c r="AP556">
        <v>1</v>
      </c>
      <c r="AQ556" s="19">
        <v>362</v>
      </c>
    </row>
    <row r="557" spans="1:43" x14ac:dyDescent="0.35">
      <c r="A557" s="18">
        <v>45845</v>
      </c>
      <c r="B557" t="s">
        <v>52</v>
      </c>
      <c r="C557" t="s">
        <v>53</v>
      </c>
      <c r="D557">
        <v>5</v>
      </c>
      <c r="E557">
        <v>1</v>
      </c>
      <c r="F557">
        <v>4</v>
      </c>
      <c r="G557" s="19">
        <v>2773</v>
      </c>
      <c r="H557" s="19">
        <v>1906</v>
      </c>
      <c r="I557" s="19">
        <v>867</v>
      </c>
      <c r="J557" s="19">
        <v>235</v>
      </c>
      <c r="K557" s="19">
        <v>94</v>
      </c>
      <c r="L557" s="19">
        <v>806</v>
      </c>
      <c r="M557" s="19">
        <v>61</v>
      </c>
      <c r="N557" s="19">
        <v>40</v>
      </c>
      <c r="O557" s="19">
        <f t="shared" si="16"/>
        <v>1236</v>
      </c>
      <c r="P557" s="19">
        <f t="shared" si="17"/>
        <v>1537</v>
      </c>
      <c r="Q557" t="s">
        <v>23</v>
      </c>
      <c r="R557" t="s">
        <v>65</v>
      </c>
      <c r="T557">
        <v>1</v>
      </c>
      <c r="U557" s="19">
        <v>1906</v>
      </c>
      <c r="V557">
        <v>0</v>
      </c>
      <c r="W557" s="19">
        <v>0</v>
      </c>
      <c r="X557">
        <v>0</v>
      </c>
      <c r="Y557" s="19">
        <v>0</v>
      </c>
      <c r="Z557">
        <v>0</v>
      </c>
      <c r="AA557" s="19">
        <v>0</v>
      </c>
      <c r="AB557">
        <v>0</v>
      </c>
      <c r="AC557" s="19">
        <v>0</v>
      </c>
      <c r="AD557">
        <v>0</v>
      </c>
      <c r="AE557" s="19">
        <v>0</v>
      </c>
      <c r="AF557">
        <v>0</v>
      </c>
      <c r="AG557" s="19">
        <v>0</v>
      </c>
      <c r="AH557">
        <v>1</v>
      </c>
      <c r="AI557" s="19">
        <v>243</v>
      </c>
      <c r="AJ557">
        <v>1</v>
      </c>
      <c r="AK557" s="19">
        <v>121</v>
      </c>
      <c r="AL557">
        <v>1</v>
      </c>
      <c r="AM557" s="19">
        <v>243</v>
      </c>
      <c r="AN557">
        <v>1</v>
      </c>
      <c r="AO557" s="19">
        <v>260</v>
      </c>
      <c r="AP557">
        <v>0</v>
      </c>
      <c r="AQ557" s="19">
        <v>0</v>
      </c>
    </row>
    <row r="558" spans="1:43" x14ac:dyDescent="0.35">
      <c r="A558" s="18">
        <v>45846</v>
      </c>
      <c r="B558" t="s">
        <v>56</v>
      </c>
      <c r="C558" t="s">
        <v>53</v>
      </c>
      <c r="D558">
        <v>6</v>
      </c>
      <c r="E558">
        <v>2</v>
      </c>
      <c r="F558">
        <v>4</v>
      </c>
      <c r="G558" s="19">
        <v>3095</v>
      </c>
      <c r="H558" s="19">
        <v>2392</v>
      </c>
      <c r="I558" s="19">
        <v>703</v>
      </c>
      <c r="J558" s="19">
        <v>235</v>
      </c>
      <c r="K558" s="19">
        <v>94</v>
      </c>
      <c r="L558" s="19">
        <v>806</v>
      </c>
      <c r="M558" s="19">
        <v>68</v>
      </c>
      <c r="N558" s="19">
        <v>49</v>
      </c>
      <c r="O558" s="19">
        <f t="shared" si="16"/>
        <v>1252</v>
      </c>
      <c r="P558" s="19">
        <f t="shared" si="17"/>
        <v>1843</v>
      </c>
      <c r="Q558" t="s">
        <v>23</v>
      </c>
      <c r="R558" t="s">
        <v>65</v>
      </c>
      <c r="T558">
        <v>1</v>
      </c>
      <c r="U558" s="19">
        <v>1548</v>
      </c>
      <c r="V558">
        <v>0</v>
      </c>
      <c r="W558" s="19">
        <v>0</v>
      </c>
      <c r="X558">
        <v>0</v>
      </c>
      <c r="Y558" s="19">
        <v>0</v>
      </c>
      <c r="Z558">
        <v>0</v>
      </c>
      <c r="AA558" s="19">
        <v>0</v>
      </c>
      <c r="AB558">
        <v>1</v>
      </c>
      <c r="AC558" s="19">
        <v>844</v>
      </c>
      <c r="AD558">
        <v>0</v>
      </c>
      <c r="AE558" s="19">
        <v>0</v>
      </c>
      <c r="AF558">
        <v>0</v>
      </c>
      <c r="AG558" s="19">
        <v>0</v>
      </c>
      <c r="AH558">
        <v>1</v>
      </c>
      <c r="AI558" s="19">
        <v>197</v>
      </c>
      <c r="AJ558">
        <v>1</v>
      </c>
      <c r="AK558" s="19">
        <v>98</v>
      </c>
      <c r="AL558">
        <v>1</v>
      </c>
      <c r="AM558" s="19">
        <v>197</v>
      </c>
      <c r="AN558">
        <v>1</v>
      </c>
      <c r="AO558" s="19">
        <v>211</v>
      </c>
      <c r="AP558">
        <v>0</v>
      </c>
      <c r="AQ558" s="19">
        <v>0</v>
      </c>
    </row>
    <row r="559" spans="1:43" x14ac:dyDescent="0.35">
      <c r="A559" s="18">
        <v>45847</v>
      </c>
      <c r="B559" t="s">
        <v>57</v>
      </c>
      <c r="C559" t="s">
        <v>53</v>
      </c>
      <c r="D559">
        <v>6</v>
      </c>
      <c r="E559">
        <v>1</v>
      </c>
      <c r="F559">
        <v>5</v>
      </c>
      <c r="G559" s="19">
        <v>3230</v>
      </c>
      <c r="H559" s="19">
        <v>1921</v>
      </c>
      <c r="I559" s="19">
        <v>1309</v>
      </c>
      <c r="J559" s="19">
        <v>235</v>
      </c>
      <c r="K559" s="19">
        <v>94</v>
      </c>
      <c r="L559" s="19">
        <v>806</v>
      </c>
      <c r="M559" s="19">
        <v>71</v>
      </c>
      <c r="N559" s="19">
        <v>49</v>
      </c>
      <c r="O559" s="19">
        <f t="shared" si="16"/>
        <v>1255</v>
      </c>
      <c r="P559" s="19">
        <f t="shared" si="17"/>
        <v>1975</v>
      </c>
      <c r="Q559" t="s">
        <v>23</v>
      </c>
      <c r="R559" t="s">
        <v>65</v>
      </c>
      <c r="T559">
        <v>1</v>
      </c>
      <c r="U559" s="19">
        <v>1921</v>
      </c>
      <c r="V559">
        <v>0</v>
      </c>
      <c r="W559" s="19">
        <v>0</v>
      </c>
      <c r="X559">
        <v>0</v>
      </c>
      <c r="Y559" s="19">
        <v>0</v>
      </c>
      <c r="Z559">
        <v>0</v>
      </c>
      <c r="AA559" s="19">
        <v>0</v>
      </c>
      <c r="AB559">
        <v>0</v>
      </c>
      <c r="AC559" s="19">
        <v>0</v>
      </c>
      <c r="AD559">
        <v>0</v>
      </c>
      <c r="AE559" s="19">
        <v>0</v>
      </c>
      <c r="AF559">
        <v>0</v>
      </c>
      <c r="AG559" s="19">
        <v>0</v>
      </c>
      <c r="AH559">
        <v>1</v>
      </c>
      <c r="AI559" s="19">
        <v>244</v>
      </c>
      <c r="AJ559">
        <v>1</v>
      </c>
      <c r="AK559" s="19">
        <v>122</v>
      </c>
      <c r="AL559">
        <v>1</v>
      </c>
      <c r="AM559" s="19">
        <v>244</v>
      </c>
      <c r="AN559">
        <v>1</v>
      </c>
      <c r="AO559" s="19">
        <v>262</v>
      </c>
      <c r="AP559">
        <v>1</v>
      </c>
      <c r="AQ559" s="19">
        <v>436</v>
      </c>
    </row>
    <row r="560" spans="1:43" x14ac:dyDescent="0.35">
      <c r="A560" s="18">
        <v>45848</v>
      </c>
      <c r="B560" t="s">
        <v>58</v>
      </c>
      <c r="C560" t="s">
        <v>53</v>
      </c>
      <c r="D560">
        <v>6</v>
      </c>
      <c r="E560">
        <v>2</v>
      </c>
      <c r="F560">
        <v>4</v>
      </c>
      <c r="G560" s="19">
        <v>3124</v>
      </c>
      <c r="H560" s="19">
        <v>2414</v>
      </c>
      <c r="I560" s="19">
        <v>710</v>
      </c>
      <c r="J560" s="19">
        <v>235</v>
      </c>
      <c r="K560" s="19">
        <v>94</v>
      </c>
      <c r="L560" s="19">
        <v>806</v>
      </c>
      <c r="M560" s="19">
        <v>69</v>
      </c>
      <c r="N560" s="19">
        <v>49</v>
      </c>
      <c r="O560" s="19">
        <f t="shared" si="16"/>
        <v>1253</v>
      </c>
      <c r="P560" s="19">
        <f t="shared" si="17"/>
        <v>1871</v>
      </c>
      <c r="Q560" t="s">
        <v>23</v>
      </c>
      <c r="R560" t="s">
        <v>65</v>
      </c>
      <c r="T560">
        <v>1</v>
      </c>
      <c r="U560" s="19">
        <v>1562</v>
      </c>
      <c r="V560">
        <v>0</v>
      </c>
      <c r="W560" s="19">
        <v>0</v>
      </c>
      <c r="X560">
        <v>0</v>
      </c>
      <c r="Y560" s="19">
        <v>0</v>
      </c>
      <c r="Z560">
        <v>0</v>
      </c>
      <c r="AA560" s="19">
        <v>0</v>
      </c>
      <c r="AB560">
        <v>1</v>
      </c>
      <c r="AC560" s="19">
        <v>852</v>
      </c>
      <c r="AD560">
        <v>0</v>
      </c>
      <c r="AE560" s="19">
        <v>0</v>
      </c>
      <c r="AF560">
        <v>0</v>
      </c>
      <c r="AG560" s="19">
        <v>0</v>
      </c>
      <c r="AH560">
        <v>1</v>
      </c>
      <c r="AI560" s="19">
        <v>199</v>
      </c>
      <c r="AJ560">
        <v>1</v>
      </c>
      <c r="AK560" s="19">
        <v>99</v>
      </c>
      <c r="AL560">
        <v>1</v>
      </c>
      <c r="AM560" s="19">
        <v>199</v>
      </c>
      <c r="AN560">
        <v>1</v>
      </c>
      <c r="AO560" s="19">
        <v>213</v>
      </c>
      <c r="AP560">
        <v>0</v>
      </c>
      <c r="AQ560" s="19">
        <v>0</v>
      </c>
    </row>
    <row r="561" spans="1:43" x14ac:dyDescent="0.35">
      <c r="A561" s="18">
        <v>45849</v>
      </c>
      <c r="B561" t="s">
        <v>59</v>
      </c>
      <c r="C561" t="s">
        <v>53</v>
      </c>
      <c r="D561">
        <v>6</v>
      </c>
      <c r="E561">
        <v>2</v>
      </c>
      <c r="F561">
        <v>4</v>
      </c>
      <c r="G561" s="19">
        <v>3209</v>
      </c>
      <c r="H561" s="19">
        <v>2365</v>
      </c>
      <c r="I561" s="19">
        <v>844</v>
      </c>
      <c r="J561" s="19">
        <v>235</v>
      </c>
      <c r="K561" s="19">
        <v>94</v>
      </c>
      <c r="L561" s="19">
        <v>806</v>
      </c>
      <c r="M561" s="19">
        <v>71</v>
      </c>
      <c r="N561" s="19">
        <v>49</v>
      </c>
      <c r="O561" s="19">
        <f t="shared" si="16"/>
        <v>1255</v>
      </c>
      <c r="P561" s="19">
        <f t="shared" si="17"/>
        <v>1954</v>
      </c>
      <c r="Q561" t="s">
        <v>26</v>
      </c>
      <c r="R561" t="s">
        <v>65</v>
      </c>
      <c r="T561">
        <v>0</v>
      </c>
      <c r="U561" s="19">
        <v>0</v>
      </c>
      <c r="V561">
        <v>0</v>
      </c>
      <c r="W561" s="19">
        <v>0</v>
      </c>
      <c r="X561">
        <v>0</v>
      </c>
      <c r="Y561" s="19">
        <v>0</v>
      </c>
      <c r="Z561">
        <v>1</v>
      </c>
      <c r="AA561" s="19">
        <v>1351</v>
      </c>
      <c r="AB561">
        <v>1</v>
      </c>
      <c r="AC561" s="19">
        <v>1013</v>
      </c>
      <c r="AD561">
        <v>0</v>
      </c>
      <c r="AE561" s="19">
        <v>0</v>
      </c>
      <c r="AF561">
        <v>0</v>
      </c>
      <c r="AG561" s="19">
        <v>0</v>
      </c>
      <c r="AH561">
        <v>1</v>
      </c>
      <c r="AI561" s="19">
        <v>236</v>
      </c>
      <c r="AJ561">
        <v>1</v>
      </c>
      <c r="AK561" s="19">
        <v>118</v>
      </c>
      <c r="AL561">
        <v>1</v>
      </c>
      <c r="AM561" s="19">
        <v>236</v>
      </c>
      <c r="AN561">
        <v>1</v>
      </c>
      <c r="AO561" s="19">
        <v>253</v>
      </c>
      <c r="AP561">
        <v>0</v>
      </c>
      <c r="AQ561" s="19">
        <v>0</v>
      </c>
    </row>
    <row r="562" spans="1:43" x14ac:dyDescent="0.35">
      <c r="A562" s="18">
        <v>45850</v>
      </c>
      <c r="B562" t="s">
        <v>60</v>
      </c>
      <c r="C562" t="s">
        <v>61</v>
      </c>
      <c r="D562">
        <v>8</v>
      </c>
      <c r="E562">
        <v>3</v>
      </c>
      <c r="F562">
        <v>5</v>
      </c>
      <c r="G562" s="19">
        <v>4043</v>
      </c>
      <c r="H562" s="19">
        <v>3110</v>
      </c>
      <c r="I562" s="19">
        <v>933</v>
      </c>
      <c r="J562" s="19">
        <v>235</v>
      </c>
      <c r="K562" s="19">
        <v>94</v>
      </c>
      <c r="L562" s="19">
        <v>806</v>
      </c>
      <c r="M562" s="19">
        <v>89</v>
      </c>
      <c r="N562" s="19">
        <v>65</v>
      </c>
      <c r="O562" s="19">
        <f t="shared" si="16"/>
        <v>1289</v>
      </c>
      <c r="P562" s="19">
        <f t="shared" si="17"/>
        <v>2754</v>
      </c>
      <c r="Q562" t="s">
        <v>23</v>
      </c>
      <c r="R562" t="s">
        <v>65</v>
      </c>
      <c r="T562">
        <v>1</v>
      </c>
      <c r="U562" s="19">
        <v>1368</v>
      </c>
      <c r="V562">
        <v>0</v>
      </c>
      <c r="W562" s="19">
        <v>0</v>
      </c>
      <c r="X562">
        <v>0</v>
      </c>
      <c r="Y562" s="19">
        <v>0</v>
      </c>
      <c r="Z562">
        <v>1</v>
      </c>
      <c r="AA562" s="19">
        <v>995</v>
      </c>
      <c r="AB562">
        <v>1</v>
      </c>
      <c r="AC562" s="19">
        <v>746</v>
      </c>
      <c r="AD562">
        <v>0</v>
      </c>
      <c r="AE562" s="19">
        <v>0</v>
      </c>
      <c r="AF562">
        <v>0</v>
      </c>
      <c r="AG562" s="19">
        <v>0</v>
      </c>
      <c r="AH562">
        <v>1</v>
      </c>
      <c r="AI562" s="19">
        <v>174</v>
      </c>
      <c r="AJ562">
        <v>1</v>
      </c>
      <c r="AK562" s="19">
        <v>87</v>
      </c>
      <c r="AL562">
        <v>1</v>
      </c>
      <c r="AM562" s="19">
        <v>174</v>
      </c>
      <c r="AN562">
        <v>1</v>
      </c>
      <c r="AO562" s="19">
        <v>187</v>
      </c>
      <c r="AP562">
        <v>1</v>
      </c>
      <c r="AQ562" s="19">
        <v>311</v>
      </c>
    </row>
    <row r="563" spans="1:43" x14ac:dyDescent="0.35">
      <c r="A563" s="18">
        <v>45851</v>
      </c>
      <c r="B563" t="s">
        <v>62</v>
      </c>
      <c r="C563" t="s">
        <v>61</v>
      </c>
      <c r="D563">
        <v>7</v>
      </c>
      <c r="E563">
        <v>2</v>
      </c>
      <c r="F563">
        <v>5</v>
      </c>
      <c r="G563" s="19">
        <v>3587</v>
      </c>
      <c r="H563" s="19">
        <v>2489</v>
      </c>
      <c r="I563" s="19">
        <v>1098</v>
      </c>
      <c r="J563" s="19">
        <v>235</v>
      </c>
      <c r="K563" s="19">
        <v>94</v>
      </c>
      <c r="L563" s="19">
        <v>806</v>
      </c>
      <c r="M563" s="19">
        <v>79</v>
      </c>
      <c r="N563" s="19">
        <v>57</v>
      </c>
      <c r="O563" s="19">
        <f t="shared" si="16"/>
        <v>1271</v>
      </c>
      <c r="P563" s="19">
        <f t="shared" si="17"/>
        <v>2316</v>
      </c>
      <c r="Q563" t="s">
        <v>23</v>
      </c>
      <c r="R563" t="s">
        <v>65</v>
      </c>
      <c r="T563">
        <v>1</v>
      </c>
      <c r="U563" s="19">
        <v>1610</v>
      </c>
      <c r="V563">
        <v>0</v>
      </c>
      <c r="W563" s="19">
        <v>0</v>
      </c>
      <c r="X563">
        <v>0</v>
      </c>
      <c r="Y563" s="19">
        <v>0</v>
      </c>
      <c r="Z563">
        <v>0</v>
      </c>
      <c r="AA563" s="19">
        <v>0</v>
      </c>
      <c r="AB563">
        <v>1</v>
      </c>
      <c r="AC563" s="19">
        <v>878</v>
      </c>
      <c r="AD563">
        <v>0</v>
      </c>
      <c r="AE563" s="19">
        <v>0</v>
      </c>
      <c r="AF563">
        <v>0</v>
      </c>
      <c r="AG563" s="19">
        <v>0</v>
      </c>
      <c r="AH563">
        <v>1</v>
      </c>
      <c r="AI563" s="19">
        <v>205</v>
      </c>
      <c r="AJ563">
        <v>1</v>
      </c>
      <c r="AK563" s="19">
        <v>102</v>
      </c>
      <c r="AL563">
        <v>1</v>
      </c>
      <c r="AM563" s="19">
        <v>205</v>
      </c>
      <c r="AN563">
        <v>1</v>
      </c>
      <c r="AO563" s="19">
        <v>220</v>
      </c>
      <c r="AP563">
        <v>1</v>
      </c>
      <c r="AQ563" s="19">
        <v>366</v>
      </c>
    </row>
    <row r="564" spans="1:43" x14ac:dyDescent="0.35">
      <c r="A564" s="18">
        <v>45852</v>
      </c>
      <c r="B564" t="s">
        <v>52</v>
      </c>
      <c r="C564" t="s">
        <v>53</v>
      </c>
      <c r="D564">
        <v>5</v>
      </c>
      <c r="E564">
        <v>1</v>
      </c>
      <c r="F564">
        <v>4</v>
      </c>
      <c r="G564" s="19">
        <v>2795</v>
      </c>
      <c r="H564" s="19">
        <v>1525</v>
      </c>
      <c r="I564" s="19">
        <v>1270</v>
      </c>
      <c r="J564" s="19">
        <v>235</v>
      </c>
      <c r="K564" s="19">
        <v>94</v>
      </c>
      <c r="L564" s="19">
        <v>806</v>
      </c>
      <c r="M564" s="19">
        <v>62</v>
      </c>
      <c r="N564" s="19">
        <v>40</v>
      </c>
      <c r="O564" s="19">
        <f t="shared" si="16"/>
        <v>1237</v>
      </c>
      <c r="P564" s="19">
        <f t="shared" si="17"/>
        <v>1558</v>
      </c>
      <c r="Q564" t="s">
        <v>27</v>
      </c>
      <c r="R564" t="s">
        <v>65</v>
      </c>
      <c r="T564">
        <v>0</v>
      </c>
      <c r="U564" s="19">
        <v>0</v>
      </c>
      <c r="V564">
        <v>0</v>
      </c>
      <c r="W564" s="19">
        <v>0</v>
      </c>
      <c r="X564">
        <v>0</v>
      </c>
      <c r="Y564" s="19">
        <v>0</v>
      </c>
      <c r="Z564">
        <v>0</v>
      </c>
      <c r="AA564" s="19">
        <v>0</v>
      </c>
      <c r="AB564">
        <v>1</v>
      </c>
      <c r="AC564" s="19">
        <v>1525</v>
      </c>
      <c r="AD564">
        <v>0</v>
      </c>
      <c r="AE564" s="19">
        <v>0</v>
      </c>
      <c r="AF564">
        <v>0</v>
      </c>
      <c r="AG564" s="19">
        <v>0</v>
      </c>
      <c r="AH564">
        <v>1</v>
      </c>
      <c r="AI564" s="19">
        <v>356</v>
      </c>
      <c r="AJ564">
        <v>1</v>
      </c>
      <c r="AK564" s="19">
        <v>178</v>
      </c>
      <c r="AL564">
        <v>1</v>
      </c>
      <c r="AM564" s="19">
        <v>356</v>
      </c>
      <c r="AN564">
        <v>1</v>
      </c>
      <c r="AO564" s="19">
        <v>381</v>
      </c>
      <c r="AP564">
        <v>0</v>
      </c>
      <c r="AQ564" s="19">
        <v>0</v>
      </c>
    </row>
    <row r="565" spans="1:43" x14ac:dyDescent="0.35">
      <c r="A565" s="18">
        <v>45853</v>
      </c>
      <c r="B565" t="s">
        <v>56</v>
      </c>
      <c r="C565" t="s">
        <v>53</v>
      </c>
      <c r="D565">
        <v>6</v>
      </c>
      <c r="E565">
        <v>2</v>
      </c>
      <c r="F565">
        <v>4</v>
      </c>
      <c r="G565" s="19">
        <v>3010</v>
      </c>
      <c r="H565" s="19">
        <v>2326</v>
      </c>
      <c r="I565" s="19">
        <v>684</v>
      </c>
      <c r="J565" s="19">
        <v>235</v>
      </c>
      <c r="K565" s="19">
        <v>94</v>
      </c>
      <c r="L565" s="19">
        <v>806</v>
      </c>
      <c r="M565" s="19">
        <v>66</v>
      </c>
      <c r="N565" s="19">
        <v>49</v>
      </c>
      <c r="O565" s="19">
        <f t="shared" si="16"/>
        <v>1250</v>
      </c>
      <c r="P565" s="19">
        <f t="shared" si="17"/>
        <v>1760</v>
      </c>
      <c r="Q565" t="s">
        <v>23</v>
      </c>
      <c r="R565" t="s">
        <v>65</v>
      </c>
      <c r="T565">
        <v>1</v>
      </c>
      <c r="U565" s="19">
        <v>1505</v>
      </c>
      <c r="V565">
        <v>0</v>
      </c>
      <c r="W565" s="19">
        <v>0</v>
      </c>
      <c r="X565">
        <v>0</v>
      </c>
      <c r="Y565" s="19">
        <v>0</v>
      </c>
      <c r="Z565">
        <v>0</v>
      </c>
      <c r="AA565" s="19">
        <v>0</v>
      </c>
      <c r="AB565">
        <v>1</v>
      </c>
      <c r="AC565" s="19">
        <v>821</v>
      </c>
      <c r="AD565">
        <v>0</v>
      </c>
      <c r="AE565" s="19">
        <v>0</v>
      </c>
      <c r="AF565">
        <v>0</v>
      </c>
      <c r="AG565" s="19">
        <v>0</v>
      </c>
      <c r="AH565">
        <v>1</v>
      </c>
      <c r="AI565" s="19">
        <v>192</v>
      </c>
      <c r="AJ565">
        <v>1</v>
      </c>
      <c r="AK565" s="19">
        <v>96</v>
      </c>
      <c r="AL565">
        <v>1</v>
      </c>
      <c r="AM565" s="19">
        <v>192</v>
      </c>
      <c r="AN565">
        <v>1</v>
      </c>
      <c r="AO565" s="19">
        <v>205</v>
      </c>
      <c r="AP565">
        <v>0</v>
      </c>
      <c r="AQ565" s="19">
        <v>0</v>
      </c>
    </row>
    <row r="566" spans="1:43" x14ac:dyDescent="0.35">
      <c r="A566" s="18">
        <v>45854</v>
      </c>
      <c r="B566" t="s">
        <v>57</v>
      </c>
      <c r="C566" t="s">
        <v>53</v>
      </c>
      <c r="D566">
        <v>6</v>
      </c>
      <c r="E566">
        <v>2</v>
      </c>
      <c r="F566">
        <v>4</v>
      </c>
      <c r="G566" s="19">
        <v>3286</v>
      </c>
      <c r="H566" s="19">
        <v>2539</v>
      </c>
      <c r="I566" s="19">
        <v>747</v>
      </c>
      <c r="J566" s="19">
        <v>235</v>
      </c>
      <c r="K566" s="19">
        <v>94</v>
      </c>
      <c r="L566" s="19">
        <v>806</v>
      </c>
      <c r="M566" s="19">
        <v>72</v>
      </c>
      <c r="N566" s="19">
        <v>49</v>
      </c>
      <c r="O566" s="19">
        <f t="shared" si="16"/>
        <v>1256</v>
      </c>
      <c r="P566" s="19">
        <f t="shared" si="17"/>
        <v>2030</v>
      </c>
      <c r="Q566" t="s">
        <v>23</v>
      </c>
      <c r="R566" t="s">
        <v>65</v>
      </c>
      <c r="T566">
        <v>1</v>
      </c>
      <c r="U566" s="19">
        <v>1643</v>
      </c>
      <c r="V566">
        <v>0</v>
      </c>
      <c r="W566" s="19">
        <v>0</v>
      </c>
      <c r="X566">
        <v>0</v>
      </c>
      <c r="Y566" s="19">
        <v>0</v>
      </c>
      <c r="Z566">
        <v>0</v>
      </c>
      <c r="AA566" s="19">
        <v>0</v>
      </c>
      <c r="AB566">
        <v>1</v>
      </c>
      <c r="AC566" s="19">
        <v>896</v>
      </c>
      <c r="AD566">
        <v>0</v>
      </c>
      <c r="AE566" s="19">
        <v>0</v>
      </c>
      <c r="AF566">
        <v>0</v>
      </c>
      <c r="AG566" s="19">
        <v>0</v>
      </c>
      <c r="AH566">
        <v>1</v>
      </c>
      <c r="AI566" s="19">
        <v>209</v>
      </c>
      <c r="AJ566">
        <v>1</v>
      </c>
      <c r="AK566" s="19">
        <v>105</v>
      </c>
      <c r="AL566">
        <v>1</v>
      </c>
      <c r="AM566" s="19">
        <v>209</v>
      </c>
      <c r="AN566">
        <v>1</v>
      </c>
      <c r="AO566" s="19">
        <v>224</v>
      </c>
      <c r="AP566">
        <v>0</v>
      </c>
      <c r="AQ566" s="19">
        <v>0</v>
      </c>
    </row>
    <row r="567" spans="1:43" x14ac:dyDescent="0.35">
      <c r="A567" s="18">
        <v>45855</v>
      </c>
      <c r="B567" t="s">
        <v>58</v>
      </c>
      <c r="C567" t="s">
        <v>53</v>
      </c>
      <c r="D567">
        <v>6</v>
      </c>
      <c r="E567">
        <v>2</v>
      </c>
      <c r="F567">
        <v>4</v>
      </c>
      <c r="G567" s="19">
        <v>3269</v>
      </c>
      <c r="H567" s="19">
        <v>2526</v>
      </c>
      <c r="I567" s="19">
        <v>743</v>
      </c>
      <c r="J567" s="19">
        <v>235</v>
      </c>
      <c r="K567" s="19">
        <v>94</v>
      </c>
      <c r="L567" s="19">
        <v>806</v>
      </c>
      <c r="M567" s="19">
        <v>72</v>
      </c>
      <c r="N567" s="19">
        <v>49</v>
      </c>
      <c r="O567" s="19">
        <f t="shared" si="16"/>
        <v>1256</v>
      </c>
      <c r="P567" s="19">
        <f t="shared" si="17"/>
        <v>2013</v>
      </c>
      <c r="Q567" t="s">
        <v>23</v>
      </c>
      <c r="R567" t="s">
        <v>65</v>
      </c>
      <c r="T567">
        <v>1</v>
      </c>
      <c r="U567" s="19">
        <v>1634</v>
      </c>
      <c r="V567">
        <v>0</v>
      </c>
      <c r="W567" s="19">
        <v>0</v>
      </c>
      <c r="X567">
        <v>0</v>
      </c>
      <c r="Y567" s="19">
        <v>0</v>
      </c>
      <c r="Z567">
        <v>0</v>
      </c>
      <c r="AA567" s="19">
        <v>0</v>
      </c>
      <c r="AB567">
        <v>1</v>
      </c>
      <c r="AC567" s="19">
        <v>892</v>
      </c>
      <c r="AD567">
        <v>0</v>
      </c>
      <c r="AE567" s="19">
        <v>0</v>
      </c>
      <c r="AF567">
        <v>0</v>
      </c>
      <c r="AG567" s="19">
        <v>0</v>
      </c>
      <c r="AH567">
        <v>1</v>
      </c>
      <c r="AI567" s="19">
        <v>208</v>
      </c>
      <c r="AJ567">
        <v>1</v>
      </c>
      <c r="AK567" s="19">
        <v>104</v>
      </c>
      <c r="AL567">
        <v>1</v>
      </c>
      <c r="AM567" s="19">
        <v>208</v>
      </c>
      <c r="AN567">
        <v>1</v>
      </c>
      <c r="AO567" s="19">
        <v>223</v>
      </c>
      <c r="AP567">
        <v>0</v>
      </c>
      <c r="AQ567" s="19">
        <v>0</v>
      </c>
    </row>
    <row r="568" spans="1:43" x14ac:dyDescent="0.35">
      <c r="A568" s="18">
        <v>45856</v>
      </c>
      <c r="B568" t="s">
        <v>59</v>
      </c>
      <c r="C568" t="s">
        <v>53</v>
      </c>
      <c r="D568">
        <v>6</v>
      </c>
      <c r="E568">
        <v>1</v>
      </c>
      <c r="F568">
        <v>5</v>
      </c>
      <c r="G568" s="19">
        <v>3201</v>
      </c>
      <c r="H568" s="19">
        <v>1423</v>
      </c>
      <c r="I568" s="19">
        <v>1778</v>
      </c>
      <c r="J568" s="19">
        <v>235</v>
      </c>
      <c r="K568" s="19">
        <v>94</v>
      </c>
      <c r="L568" s="19">
        <v>806</v>
      </c>
      <c r="M568" s="19">
        <v>71</v>
      </c>
      <c r="N568" s="19">
        <v>49</v>
      </c>
      <c r="O568" s="19">
        <f t="shared" si="16"/>
        <v>1255</v>
      </c>
      <c r="P568" s="19">
        <f t="shared" si="17"/>
        <v>1946</v>
      </c>
      <c r="Q568" t="s">
        <v>27</v>
      </c>
      <c r="R568" t="s">
        <v>65</v>
      </c>
      <c r="T568">
        <v>0</v>
      </c>
      <c r="U568" s="19">
        <v>0</v>
      </c>
      <c r="V568">
        <v>0</v>
      </c>
      <c r="W568" s="19">
        <v>0</v>
      </c>
      <c r="X568">
        <v>0</v>
      </c>
      <c r="Y568" s="19">
        <v>0</v>
      </c>
      <c r="Z568">
        <v>0</v>
      </c>
      <c r="AA568" s="19">
        <v>0</v>
      </c>
      <c r="AB568">
        <v>1</v>
      </c>
      <c r="AC568" s="19">
        <v>1423</v>
      </c>
      <c r="AD568">
        <v>0</v>
      </c>
      <c r="AE568" s="19">
        <v>0</v>
      </c>
      <c r="AF568">
        <v>0</v>
      </c>
      <c r="AG568" s="19">
        <v>0</v>
      </c>
      <c r="AH568">
        <v>1</v>
      </c>
      <c r="AI568" s="19">
        <v>332</v>
      </c>
      <c r="AJ568">
        <v>1</v>
      </c>
      <c r="AK568" s="19">
        <v>166</v>
      </c>
      <c r="AL568">
        <v>1</v>
      </c>
      <c r="AM568" s="19">
        <v>332</v>
      </c>
      <c r="AN568">
        <v>1</v>
      </c>
      <c r="AO568" s="19">
        <v>356</v>
      </c>
      <c r="AP568">
        <v>1</v>
      </c>
      <c r="AQ568" s="19">
        <v>593</v>
      </c>
    </row>
    <row r="569" spans="1:43" x14ac:dyDescent="0.35">
      <c r="A569" s="18">
        <v>45857</v>
      </c>
      <c r="B569" t="s">
        <v>60</v>
      </c>
      <c r="C569" t="s">
        <v>61</v>
      </c>
      <c r="D569">
        <v>8</v>
      </c>
      <c r="E569">
        <v>3</v>
      </c>
      <c r="F569">
        <v>5</v>
      </c>
      <c r="G569" s="19">
        <v>4349</v>
      </c>
      <c r="H569" s="19">
        <v>3090</v>
      </c>
      <c r="I569" s="19">
        <v>1259</v>
      </c>
      <c r="J569" s="19">
        <v>235</v>
      </c>
      <c r="K569" s="19">
        <v>94</v>
      </c>
      <c r="L569" s="19">
        <v>806</v>
      </c>
      <c r="M569" s="19">
        <v>96</v>
      </c>
      <c r="N569" s="19">
        <v>65</v>
      </c>
      <c r="O569" s="19">
        <f t="shared" si="16"/>
        <v>1296</v>
      </c>
      <c r="P569" s="19">
        <f t="shared" si="17"/>
        <v>3053</v>
      </c>
      <c r="Q569" t="s">
        <v>23</v>
      </c>
      <c r="R569" t="s">
        <v>65</v>
      </c>
      <c r="T569">
        <v>1</v>
      </c>
      <c r="U569" s="19">
        <v>1847</v>
      </c>
      <c r="V569">
        <v>0</v>
      </c>
      <c r="W569" s="19">
        <v>0</v>
      </c>
      <c r="X569">
        <v>0</v>
      </c>
      <c r="Y569" s="19">
        <v>0</v>
      </c>
      <c r="Z569">
        <v>0</v>
      </c>
      <c r="AA569" s="19">
        <v>0</v>
      </c>
      <c r="AB569">
        <v>1</v>
      </c>
      <c r="AC569" s="19">
        <v>1007</v>
      </c>
      <c r="AD569">
        <v>0</v>
      </c>
      <c r="AE569" s="19">
        <v>0</v>
      </c>
      <c r="AF569">
        <v>0</v>
      </c>
      <c r="AG569" s="19">
        <v>0</v>
      </c>
      <c r="AH569">
        <v>2</v>
      </c>
      <c r="AI569" s="19">
        <v>470</v>
      </c>
      <c r="AJ569">
        <v>1</v>
      </c>
      <c r="AK569" s="19">
        <v>118</v>
      </c>
      <c r="AL569">
        <v>1</v>
      </c>
      <c r="AM569" s="19">
        <v>235</v>
      </c>
      <c r="AN569">
        <v>1</v>
      </c>
      <c r="AO569" s="19">
        <v>252</v>
      </c>
      <c r="AP569">
        <v>1</v>
      </c>
      <c r="AQ569" s="19">
        <v>420</v>
      </c>
    </row>
    <row r="570" spans="1:43" x14ac:dyDescent="0.35">
      <c r="A570" s="18">
        <v>45858</v>
      </c>
      <c r="B570" t="s">
        <v>62</v>
      </c>
      <c r="C570" t="s">
        <v>61</v>
      </c>
      <c r="D570">
        <v>7</v>
      </c>
      <c r="E570">
        <v>2</v>
      </c>
      <c r="F570">
        <v>5</v>
      </c>
      <c r="G570" s="19">
        <v>3528</v>
      </c>
      <c r="H570" s="19">
        <v>2448</v>
      </c>
      <c r="I570" s="19">
        <v>1080</v>
      </c>
      <c r="J570" s="19">
        <v>235</v>
      </c>
      <c r="K570" s="19">
        <v>94</v>
      </c>
      <c r="L570" s="19">
        <v>806</v>
      </c>
      <c r="M570" s="19">
        <v>78</v>
      </c>
      <c r="N570" s="19">
        <v>57</v>
      </c>
      <c r="O570" s="19">
        <f t="shared" si="16"/>
        <v>1270</v>
      </c>
      <c r="P570" s="19">
        <f t="shared" si="17"/>
        <v>2258</v>
      </c>
      <c r="Q570" t="s">
        <v>23</v>
      </c>
      <c r="R570" t="s">
        <v>65</v>
      </c>
      <c r="T570">
        <v>1</v>
      </c>
      <c r="U570" s="19">
        <v>1584</v>
      </c>
      <c r="V570">
        <v>0</v>
      </c>
      <c r="W570" s="19">
        <v>0</v>
      </c>
      <c r="X570">
        <v>0</v>
      </c>
      <c r="Y570" s="19">
        <v>0</v>
      </c>
      <c r="Z570">
        <v>0</v>
      </c>
      <c r="AA570" s="19">
        <v>0</v>
      </c>
      <c r="AB570">
        <v>1</v>
      </c>
      <c r="AC570" s="19">
        <v>864</v>
      </c>
      <c r="AD570">
        <v>0</v>
      </c>
      <c r="AE570" s="19">
        <v>0</v>
      </c>
      <c r="AF570">
        <v>0</v>
      </c>
      <c r="AG570" s="19">
        <v>0</v>
      </c>
      <c r="AH570">
        <v>1</v>
      </c>
      <c r="AI570" s="19">
        <v>202</v>
      </c>
      <c r="AJ570">
        <v>1</v>
      </c>
      <c r="AK570" s="19">
        <v>101</v>
      </c>
      <c r="AL570">
        <v>1</v>
      </c>
      <c r="AM570" s="19">
        <v>202</v>
      </c>
      <c r="AN570">
        <v>1</v>
      </c>
      <c r="AO570" s="19">
        <v>216</v>
      </c>
      <c r="AP570">
        <v>1</v>
      </c>
      <c r="AQ570" s="19">
        <v>360</v>
      </c>
    </row>
    <row r="571" spans="1:43" x14ac:dyDescent="0.35">
      <c r="A571" s="18">
        <v>45859</v>
      </c>
      <c r="B571" t="s">
        <v>52</v>
      </c>
      <c r="C571" t="s">
        <v>53</v>
      </c>
      <c r="D571">
        <v>5</v>
      </c>
      <c r="E571">
        <v>1</v>
      </c>
      <c r="F571">
        <v>4</v>
      </c>
      <c r="G571" s="19">
        <v>2850</v>
      </c>
      <c r="H571" s="19">
        <v>1959</v>
      </c>
      <c r="I571" s="19">
        <v>891</v>
      </c>
      <c r="J571" s="19">
        <v>235</v>
      </c>
      <c r="K571" s="19">
        <v>94</v>
      </c>
      <c r="L571" s="19">
        <v>806</v>
      </c>
      <c r="M571" s="19">
        <v>63</v>
      </c>
      <c r="N571" s="19">
        <v>40</v>
      </c>
      <c r="O571" s="19">
        <f t="shared" si="16"/>
        <v>1238</v>
      </c>
      <c r="P571" s="19">
        <f t="shared" si="17"/>
        <v>1612</v>
      </c>
      <c r="Q571" t="s">
        <v>23</v>
      </c>
      <c r="R571" t="s">
        <v>65</v>
      </c>
      <c r="T571">
        <v>1</v>
      </c>
      <c r="U571" s="19">
        <v>1959</v>
      </c>
      <c r="V571">
        <v>0</v>
      </c>
      <c r="W571" s="19">
        <v>0</v>
      </c>
      <c r="X571">
        <v>0</v>
      </c>
      <c r="Y571" s="19">
        <v>0</v>
      </c>
      <c r="Z571">
        <v>0</v>
      </c>
      <c r="AA571" s="19">
        <v>0</v>
      </c>
      <c r="AB571">
        <v>0</v>
      </c>
      <c r="AC571" s="19">
        <v>0</v>
      </c>
      <c r="AD571">
        <v>0</v>
      </c>
      <c r="AE571" s="19">
        <v>0</v>
      </c>
      <c r="AF571">
        <v>0</v>
      </c>
      <c r="AG571" s="19">
        <v>0</v>
      </c>
      <c r="AH571">
        <v>1</v>
      </c>
      <c r="AI571" s="19">
        <v>249</v>
      </c>
      <c r="AJ571">
        <v>1</v>
      </c>
      <c r="AK571" s="19">
        <v>125</v>
      </c>
      <c r="AL571">
        <v>1</v>
      </c>
      <c r="AM571" s="19">
        <v>249</v>
      </c>
      <c r="AN571">
        <v>1</v>
      </c>
      <c r="AO571" s="19">
        <v>267</v>
      </c>
      <c r="AP571">
        <v>0</v>
      </c>
      <c r="AQ571" s="19">
        <v>0</v>
      </c>
    </row>
    <row r="572" spans="1:43" x14ac:dyDescent="0.35">
      <c r="A572" s="18">
        <v>45860</v>
      </c>
      <c r="B572" t="s">
        <v>56</v>
      </c>
      <c r="C572" t="s">
        <v>53</v>
      </c>
      <c r="D572">
        <v>5</v>
      </c>
      <c r="E572">
        <v>1</v>
      </c>
      <c r="F572">
        <v>4</v>
      </c>
      <c r="G572" s="19">
        <v>2775</v>
      </c>
      <c r="H572" s="19">
        <v>1908</v>
      </c>
      <c r="I572" s="19">
        <v>867</v>
      </c>
      <c r="J572" s="19">
        <v>235</v>
      </c>
      <c r="K572" s="19">
        <v>94</v>
      </c>
      <c r="L572" s="19">
        <v>806</v>
      </c>
      <c r="M572" s="19">
        <v>61</v>
      </c>
      <c r="N572" s="19">
        <v>40</v>
      </c>
      <c r="O572" s="19">
        <f t="shared" si="16"/>
        <v>1236</v>
      </c>
      <c r="P572" s="19">
        <f t="shared" si="17"/>
        <v>1539</v>
      </c>
      <c r="Q572" t="s">
        <v>23</v>
      </c>
      <c r="R572" t="s">
        <v>65</v>
      </c>
      <c r="T572">
        <v>1</v>
      </c>
      <c r="U572" s="19">
        <v>1908</v>
      </c>
      <c r="V572">
        <v>0</v>
      </c>
      <c r="W572" s="19">
        <v>0</v>
      </c>
      <c r="X572">
        <v>0</v>
      </c>
      <c r="Y572" s="19">
        <v>0</v>
      </c>
      <c r="Z572">
        <v>0</v>
      </c>
      <c r="AA572" s="19">
        <v>0</v>
      </c>
      <c r="AB572">
        <v>0</v>
      </c>
      <c r="AC572" s="19">
        <v>0</v>
      </c>
      <c r="AD572">
        <v>0</v>
      </c>
      <c r="AE572" s="19">
        <v>0</v>
      </c>
      <c r="AF572">
        <v>0</v>
      </c>
      <c r="AG572" s="19">
        <v>0</v>
      </c>
      <c r="AH572">
        <v>1</v>
      </c>
      <c r="AI572" s="19">
        <v>243</v>
      </c>
      <c r="AJ572">
        <v>1</v>
      </c>
      <c r="AK572" s="19">
        <v>121</v>
      </c>
      <c r="AL572">
        <v>1</v>
      </c>
      <c r="AM572" s="19">
        <v>243</v>
      </c>
      <c r="AN572">
        <v>1</v>
      </c>
      <c r="AO572" s="19">
        <v>260</v>
      </c>
      <c r="AP572">
        <v>0</v>
      </c>
      <c r="AQ572" s="19">
        <v>0</v>
      </c>
    </row>
    <row r="573" spans="1:43" x14ac:dyDescent="0.35">
      <c r="A573" s="18">
        <v>45861</v>
      </c>
      <c r="B573" t="s">
        <v>57</v>
      </c>
      <c r="C573" t="s">
        <v>53</v>
      </c>
      <c r="D573">
        <v>6</v>
      </c>
      <c r="E573">
        <v>2</v>
      </c>
      <c r="F573">
        <v>4</v>
      </c>
      <c r="G573" s="19">
        <v>3218</v>
      </c>
      <c r="H573" s="19">
        <v>2487</v>
      </c>
      <c r="I573" s="19">
        <v>731</v>
      </c>
      <c r="J573" s="19">
        <v>235</v>
      </c>
      <c r="K573" s="19">
        <v>94</v>
      </c>
      <c r="L573" s="19">
        <v>806</v>
      </c>
      <c r="M573" s="19">
        <v>71</v>
      </c>
      <c r="N573" s="19">
        <v>49</v>
      </c>
      <c r="O573" s="19">
        <f t="shared" si="16"/>
        <v>1255</v>
      </c>
      <c r="P573" s="19">
        <f t="shared" si="17"/>
        <v>1963</v>
      </c>
      <c r="Q573" t="s">
        <v>23</v>
      </c>
      <c r="R573" t="s">
        <v>65</v>
      </c>
      <c r="T573">
        <v>1</v>
      </c>
      <c r="U573" s="19">
        <v>1609</v>
      </c>
      <c r="V573">
        <v>0</v>
      </c>
      <c r="W573" s="19">
        <v>0</v>
      </c>
      <c r="X573">
        <v>0</v>
      </c>
      <c r="Y573" s="19">
        <v>0</v>
      </c>
      <c r="Z573">
        <v>0</v>
      </c>
      <c r="AA573" s="19">
        <v>0</v>
      </c>
      <c r="AB573">
        <v>1</v>
      </c>
      <c r="AC573" s="19">
        <v>878</v>
      </c>
      <c r="AD573">
        <v>0</v>
      </c>
      <c r="AE573" s="19">
        <v>0</v>
      </c>
      <c r="AF573">
        <v>0</v>
      </c>
      <c r="AG573" s="19">
        <v>0</v>
      </c>
      <c r="AH573">
        <v>1</v>
      </c>
      <c r="AI573" s="19">
        <v>205</v>
      </c>
      <c r="AJ573">
        <v>1</v>
      </c>
      <c r="AK573" s="19">
        <v>102</v>
      </c>
      <c r="AL573">
        <v>1</v>
      </c>
      <c r="AM573" s="19">
        <v>205</v>
      </c>
      <c r="AN573">
        <v>1</v>
      </c>
      <c r="AO573" s="19">
        <v>219</v>
      </c>
      <c r="AP573">
        <v>0</v>
      </c>
      <c r="AQ573" s="19">
        <v>0</v>
      </c>
    </row>
    <row r="574" spans="1:43" x14ac:dyDescent="0.35">
      <c r="A574" s="18">
        <v>45862</v>
      </c>
      <c r="B574" t="s">
        <v>58</v>
      </c>
      <c r="C574" t="s">
        <v>53</v>
      </c>
      <c r="D574">
        <v>6</v>
      </c>
      <c r="E574">
        <v>2</v>
      </c>
      <c r="F574">
        <v>4</v>
      </c>
      <c r="G574" s="19">
        <v>2999</v>
      </c>
      <c r="H574" s="19">
        <v>2317</v>
      </c>
      <c r="I574" s="19">
        <v>682</v>
      </c>
      <c r="J574" s="19">
        <v>235</v>
      </c>
      <c r="K574" s="19">
        <v>94</v>
      </c>
      <c r="L574" s="19">
        <v>806</v>
      </c>
      <c r="M574" s="19">
        <v>66</v>
      </c>
      <c r="N574" s="19">
        <v>49</v>
      </c>
      <c r="O574" s="19">
        <f t="shared" si="16"/>
        <v>1250</v>
      </c>
      <c r="P574" s="19">
        <f t="shared" si="17"/>
        <v>1749</v>
      </c>
      <c r="Q574" t="s">
        <v>23</v>
      </c>
      <c r="R574" t="s">
        <v>65</v>
      </c>
      <c r="T574">
        <v>1</v>
      </c>
      <c r="U574" s="19">
        <v>1500</v>
      </c>
      <c r="V574">
        <v>0</v>
      </c>
      <c r="W574" s="19">
        <v>0</v>
      </c>
      <c r="X574">
        <v>0</v>
      </c>
      <c r="Y574" s="19">
        <v>0</v>
      </c>
      <c r="Z574">
        <v>0</v>
      </c>
      <c r="AA574" s="19">
        <v>0</v>
      </c>
      <c r="AB574">
        <v>1</v>
      </c>
      <c r="AC574" s="19">
        <v>818</v>
      </c>
      <c r="AD574">
        <v>0</v>
      </c>
      <c r="AE574" s="19">
        <v>0</v>
      </c>
      <c r="AF574">
        <v>0</v>
      </c>
      <c r="AG574" s="19">
        <v>0</v>
      </c>
      <c r="AH574">
        <v>1</v>
      </c>
      <c r="AI574" s="19">
        <v>191</v>
      </c>
      <c r="AJ574">
        <v>1</v>
      </c>
      <c r="AK574" s="19">
        <v>95</v>
      </c>
      <c r="AL574">
        <v>1</v>
      </c>
      <c r="AM574" s="19">
        <v>191</v>
      </c>
      <c r="AN574">
        <v>1</v>
      </c>
      <c r="AO574" s="19">
        <v>204</v>
      </c>
      <c r="AP574">
        <v>0</v>
      </c>
      <c r="AQ574" s="19">
        <v>0</v>
      </c>
    </row>
    <row r="575" spans="1:43" x14ac:dyDescent="0.35">
      <c r="A575" s="18">
        <v>45863</v>
      </c>
      <c r="B575" t="s">
        <v>59</v>
      </c>
      <c r="C575" t="s">
        <v>53</v>
      </c>
      <c r="D575">
        <v>6</v>
      </c>
      <c r="E575">
        <v>2</v>
      </c>
      <c r="F575">
        <v>4</v>
      </c>
      <c r="G575" s="19">
        <v>3198</v>
      </c>
      <c r="H575" s="19">
        <v>2471</v>
      </c>
      <c r="I575" s="19">
        <v>727</v>
      </c>
      <c r="J575" s="19">
        <v>235</v>
      </c>
      <c r="K575" s="19">
        <v>94</v>
      </c>
      <c r="L575" s="19">
        <v>806</v>
      </c>
      <c r="M575" s="19">
        <v>71</v>
      </c>
      <c r="N575" s="19">
        <v>49</v>
      </c>
      <c r="O575" s="19">
        <f t="shared" si="16"/>
        <v>1255</v>
      </c>
      <c r="P575" s="19">
        <f t="shared" si="17"/>
        <v>1943</v>
      </c>
      <c r="Q575" t="s">
        <v>23</v>
      </c>
      <c r="R575" t="s">
        <v>65</v>
      </c>
      <c r="T575">
        <v>1</v>
      </c>
      <c r="U575" s="19">
        <v>1599</v>
      </c>
      <c r="V575">
        <v>0</v>
      </c>
      <c r="W575" s="19">
        <v>0</v>
      </c>
      <c r="X575">
        <v>0</v>
      </c>
      <c r="Y575" s="19">
        <v>0</v>
      </c>
      <c r="Z575">
        <v>0</v>
      </c>
      <c r="AA575" s="19">
        <v>0</v>
      </c>
      <c r="AB575">
        <v>1</v>
      </c>
      <c r="AC575" s="19">
        <v>872</v>
      </c>
      <c r="AD575">
        <v>0</v>
      </c>
      <c r="AE575" s="19">
        <v>0</v>
      </c>
      <c r="AF575">
        <v>0</v>
      </c>
      <c r="AG575" s="19">
        <v>0</v>
      </c>
      <c r="AH575">
        <v>1</v>
      </c>
      <c r="AI575" s="19">
        <v>204</v>
      </c>
      <c r="AJ575">
        <v>1</v>
      </c>
      <c r="AK575" s="19">
        <v>102</v>
      </c>
      <c r="AL575">
        <v>1</v>
      </c>
      <c r="AM575" s="19">
        <v>204</v>
      </c>
      <c r="AN575">
        <v>1</v>
      </c>
      <c r="AO575" s="19">
        <v>218</v>
      </c>
      <c r="AP575">
        <v>0</v>
      </c>
      <c r="AQ575" s="19">
        <v>0</v>
      </c>
    </row>
    <row r="576" spans="1:43" x14ac:dyDescent="0.35">
      <c r="A576" s="18">
        <v>45864</v>
      </c>
      <c r="B576" t="s">
        <v>60</v>
      </c>
      <c r="C576" t="s">
        <v>61</v>
      </c>
      <c r="D576">
        <v>8</v>
      </c>
      <c r="E576">
        <v>3</v>
      </c>
      <c r="F576">
        <v>5</v>
      </c>
      <c r="G576" s="19">
        <v>4090</v>
      </c>
      <c r="H576" s="19">
        <v>3146</v>
      </c>
      <c r="I576" s="19">
        <v>944</v>
      </c>
      <c r="J576" s="19">
        <v>235</v>
      </c>
      <c r="K576" s="19">
        <v>94</v>
      </c>
      <c r="L576" s="19">
        <v>806</v>
      </c>
      <c r="M576" s="19">
        <v>90</v>
      </c>
      <c r="N576" s="19">
        <v>65</v>
      </c>
      <c r="O576" s="19">
        <f t="shared" si="16"/>
        <v>1290</v>
      </c>
      <c r="P576" s="19">
        <f t="shared" si="17"/>
        <v>2800</v>
      </c>
      <c r="Q576" t="s">
        <v>23</v>
      </c>
      <c r="R576" t="s">
        <v>65</v>
      </c>
      <c r="T576">
        <v>1</v>
      </c>
      <c r="U576" s="19">
        <v>1384</v>
      </c>
      <c r="V576">
        <v>0</v>
      </c>
      <c r="W576" s="19">
        <v>0</v>
      </c>
      <c r="X576">
        <v>0</v>
      </c>
      <c r="Y576" s="19">
        <v>0</v>
      </c>
      <c r="Z576">
        <v>1</v>
      </c>
      <c r="AA576" s="19">
        <v>1007</v>
      </c>
      <c r="AB576">
        <v>1</v>
      </c>
      <c r="AC576" s="19">
        <v>755</v>
      </c>
      <c r="AD576">
        <v>0</v>
      </c>
      <c r="AE576" s="19">
        <v>0</v>
      </c>
      <c r="AF576">
        <v>0</v>
      </c>
      <c r="AG576" s="19">
        <v>0</v>
      </c>
      <c r="AH576">
        <v>1</v>
      </c>
      <c r="AI576" s="19">
        <v>176</v>
      </c>
      <c r="AJ576">
        <v>1</v>
      </c>
      <c r="AK576" s="19">
        <v>88</v>
      </c>
      <c r="AL576">
        <v>1</v>
      </c>
      <c r="AM576" s="19">
        <v>176</v>
      </c>
      <c r="AN576">
        <v>1</v>
      </c>
      <c r="AO576" s="19">
        <v>189</v>
      </c>
      <c r="AP576">
        <v>1</v>
      </c>
      <c r="AQ576" s="19">
        <v>315</v>
      </c>
    </row>
    <row r="577" spans="1:43" x14ac:dyDescent="0.35">
      <c r="A577" s="18">
        <v>45865</v>
      </c>
      <c r="B577" t="s">
        <v>62</v>
      </c>
      <c r="C577" t="s">
        <v>61</v>
      </c>
      <c r="D577">
        <v>7</v>
      </c>
      <c r="E577">
        <v>2</v>
      </c>
      <c r="F577">
        <v>5</v>
      </c>
      <c r="G577" s="19">
        <v>3641</v>
      </c>
      <c r="H577" s="19">
        <v>2526</v>
      </c>
      <c r="I577" s="19">
        <v>1115</v>
      </c>
      <c r="J577" s="19">
        <v>235</v>
      </c>
      <c r="K577" s="19">
        <v>94</v>
      </c>
      <c r="L577" s="19">
        <v>806</v>
      </c>
      <c r="M577" s="19">
        <v>80</v>
      </c>
      <c r="N577" s="19">
        <v>57</v>
      </c>
      <c r="O577" s="19">
        <f t="shared" si="16"/>
        <v>1272</v>
      </c>
      <c r="P577" s="19">
        <f t="shared" si="17"/>
        <v>2369</v>
      </c>
      <c r="Q577" t="s">
        <v>23</v>
      </c>
      <c r="R577" t="s">
        <v>65</v>
      </c>
      <c r="T577">
        <v>1</v>
      </c>
      <c r="U577" s="19">
        <v>1635</v>
      </c>
      <c r="V577">
        <v>0</v>
      </c>
      <c r="W577" s="19">
        <v>0</v>
      </c>
      <c r="X577">
        <v>0</v>
      </c>
      <c r="Y577" s="19">
        <v>0</v>
      </c>
      <c r="Z577">
        <v>0</v>
      </c>
      <c r="AA577" s="19">
        <v>0</v>
      </c>
      <c r="AB577">
        <v>1</v>
      </c>
      <c r="AC577" s="19">
        <v>892</v>
      </c>
      <c r="AD577">
        <v>0</v>
      </c>
      <c r="AE577" s="19">
        <v>0</v>
      </c>
      <c r="AF577">
        <v>0</v>
      </c>
      <c r="AG577" s="19">
        <v>0</v>
      </c>
      <c r="AH577">
        <v>1</v>
      </c>
      <c r="AI577" s="19">
        <v>208</v>
      </c>
      <c r="AJ577">
        <v>1</v>
      </c>
      <c r="AK577" s="19">
        <v>104</v>
      </c>
      <c r="AL577">
        <v>1</v>
      </c>
      <c r="AM577" s="19">
        <v>208</v>
      </c>
      <c r="AN577">
        <v>1</v>
      </c>
      <c r="AO577" s="19">
        <v>223</v>
      </c>
      <c r="AP577">
        <v>1</v>
      </c>
      <c r="AQ577" s="19">
        <v>372</v>
      </c>
    </row>
    <row r="578" spans="1:43" x14ac:dyDescent="0.35">
      <c r="A578" s="18">
        <v>45866</v>
      </c>
      <c r="B578" t="s">
        <v>52</v>
      </c>
      <c r="C578" t="s">
        <v>53</v>
      </c>
      <c r="D578">
        <v>5</v>
      </c>
      <c r="E578">
        <v>1</v>
      </c>
      <c r="F578">
        <v>4</v>
      </c>
      <c r="G578" s="19">
        <v>2789</v>
      </c>
      <c r="H578" s="19">
        <v>1521</v>
      </c>
      <c r="I578" s="19">
        <v>1268</v>
      </c>
      <c r="J578" s="19">
        <v>235</v>
      </c>
      <c r="K578" s="19">
        <v>94</v>
      </c>
      <c r="L578" s="19">
        <v>806</v>
      </c>
      <c r="M578" s="19">
        <v>62</v>
      </c>
      <c r="N578" s="19">
        <v>40</v>
      </c>
      <c r="O578" s="19">
        <f t="shared" si="16"/>
        <v>1237</v>
      </c>
      <c r="P578" s="19">
        <f t="shared" si="17"/>
        <v>1552</v>
      </c>
      <c r="Q578" t="s">
        <v>27</v>
      </c>
      <c r="R578" t="s">
        <v>65</v>
      </c>
      <c r="T578">
        <v>0</v>
      </c>
      <c r="U578" s="19">
        <v>0</v>
      </c>
      <c r="V578">
        <v>0</v>
      </c>
      <c r="W578" s="19">
        <v>0</v>
      </c>
      <c r="X578">
        <v>0</v>
      </c>
      <c r="Y578" s="19">
        <v>0</v>
      </c>
      <c r="Z578">
        <v>0</v>
      </c>
      <c r="AA578" s="19">
        <v>0</v>
      </c>
      <c r="AB578">
        <v>1</v>
      </c>
      <c r="AC578" s="19">
        <v>1521</v>
      </c>
      <c r="AD578">
        <v>0</v>
      </c>
      <c r="AE578" s="19">
        <v>0</v>
      </c>
      <c r="AF578">
        <v>0</v>
      </c>
      <c r="AG578" s="19">
        <v>0</v>
      </c>
      <c r="AH578">
        <v>1</v>
      </c>
      <c r="AI578" s="19">
        <v>355</v>
      </c>
      <c r="AJ578">
        <v>1</v>
      </c>
      <c r="AK578" s="19">
        <v>177</v>
      </c>
      <c r="AL578">
        <v>1</v>
      </c>
      <c r="AM578" s="19">
        <v>355</v>
      </c>
      <c r="AN578">
        <v>1</v>
      </c>
      <c r="AO578" s="19">
        <v>380</v>
      </c>
      <c r="AP578">
        <v>0</v>
      </c>
      <c r="AQ578" s="19">
        <v>0</v>
      </c>
    </row>
    <row r="579" spans="1:43" x14ac:dyDescent="0.35">
      <c r="A579" s="18">
        <v>45867</v>
      </c>
      <c r="B579" t="s">
        <v>56</v>
      </c>
      <c r="C579" t="s">
        <v>53</v>
      </c>
      <c r="D579">
        <v>6</v>
      </c>
      <c r="E579">
        <v>2</v>
      </c>
      <c r="F579">
        <v>4</v>
      </c>
      <c r="G579" s="19">
        <v>3051</v>
      </c>
      <c r="H579" s="19">
        <v>2358</v>
      </c>
      <c r="I579" s="19">
        <v>693</v>
      </c>
      <c r="J579" s="19">
        <v>235</v>
      </c>
      <c r="K579" s="19">
        <v>94</v>
      </c>
      <c r="L579" s="19">
        <v>806</v>
      </c>
      <c r="M579" s="19">
        <v>67</v>
      </c>
      <c r="N579" s="19">
        <v>49</v>
      </c>
      <c r="O579" s="19">
        <f t="shared" si="16"/>
        <v>1251</v>
      </c>
      <c r="P579" s="19">
        <f t="shared" si="17"/>
        <v>1800</v>
      </c>
      <c r="Q579" t="s">
        <v>23</v>
      </c>
      <c r="R579" t="s">
        <v>65</v>
      </c>
      <c r="T579">
        <v>1</v>
      </c>
      <c r="U579" s="19">
        <v>1526</v>
      </c>
      <c r="V579">
        <v>0</v>
      </c>
      <c r="W579" s="19">
        <v>0</v>
      </c>
      <c r="X579">
        <v>0</v>
      </c>
      <c r="Y579" s="19">
        <v>0</v>
      </c>
      <c r="Z579">
        <v>0</v>
      </c>
      <c r="AA579" s="19">
        <v>0</v>
      </c>
      <c r="AB579">
        <v>1</v>
      </c>
      <c r="AC579" s="19">
        <v>832</v>
      </c>
      <c r="AD579">
        <v>0</v>
      </c>
      <c r="AE579" s="19">
        <v>0</v>
      </c>
      <c r="AF579">
        <v>0</v>
      </c>
      <c r="AG579" s="19">
        <v>0</v>
      </c>
      <c r="AH579">
        <v>1</v>
      </c>
      <c r="AI579" s="19">
        <v>194</v>
      </c>
      <c r="AJ579">
        <v>1</v>
      </c>
      <c r="AK579" s="19">
        <v>97</v>
      </c>
      <c r="AL579">
        <v>1</v>
      </c>
      <c r="AM579" s="19">
        <v>194</v>
      </c>
      <c r="AN579">
        <v>1</v>
      </c>
      <c r="AO579" s="19">
        <v>208</v>
      </c>
      <c r="AP579">
        <v>0</v>
      </c>
      <c r="AQ579" s="19">
        <v>0</v>
      </c>
    </row>
    <row r="580" spans="1:43" x14ac:dyDescent="0.35">
      <c r="A580" s="18">
        <v>45868</v>
      </c>
      <c r="B580" t="s">
        <v>57</v>
      </c>
      <c r="C580" t="s">
        <v>53</v>
      </c>
      <c r="D580">
        <v>5</v>
      </c>
      <c r="E580">
        <v>1</v>
      </c>
      <c r="F580">
        <v>4</v>
      </c>
      <c r="G580" s="19">
        <v>2793</v>
      </c>
      <c r="H580" s="19">
        <v>1920</v>
      </c>
      <c r="I580" s="19">
        <v>873</v>
      </c>
      <c r="J580" s="19">
        <v>235</v>
      </c>
      <c r="K580" s="19">
        <v>94</v>
      </c>
      <c r="L580" s="19">
        <v>806</v>
      </c>
      <c r="M580" s="19">
        <v>62</v>
      </c>
      <c r="N580" s="19">
        <v>40</v>
      </c>
      <c r="O580" s="19">
        <f t="shared" ref="O580:O643" si="18">SUM(J580:N580)</f>
        <v>1237</v>
      </c>
      <c r="P580" s="19">
        <f t="shared" ref="P580:P643" si="19">G580-O580</f>
        <v>1556</v>
      </c>
      <c r="Q580" t="s">
        <v>23</v>
      </c>
      <c r="R580" t="s">
        <v>65</v>
      </c>
      <c r="T580">
        <v>1</v>
      </c>
      <c r="U580" s="19">
        <v>1920</v>
      </c>
      <c r="V580">
        <v>0</v>
      </c>
      <c r="W580" s="19">
        <v>0</v>
      </c>
      <c r="X580">
        <v>0</v>
      </c>
      <c r="Y580" s="19">
        <v>0</v>
      </c>
      <c r="Z580">
        <v>0</v>
      </c>
      <c r="AA580" s="19">
        <v>0</v>
      </c>
      <c r="AB580">
        <v>0</v>
      </c>
      <c r="AC580" s="19">
        <v>0</v>
      </c>
      <c r="AD580">
        <v>0</v>
      </c>
      <c r="AE580" s="19">
        <v>0</v>
      </c>
      <c r="AF580">
        <v>0</v>
      </c>
      <c r="AG580" s="19">
        <v>0</v>
      </c>
      <c r="AH580">
        <v>1</v>
      </c>
      <c r="AI580" s="19">
        <v>244</v>
      </c>
      <c r="AJ580">
        <v>1</v>
      </c>
      <c r="AK580" s="19">
        <v>122</v>
      </c>
      <c r="AL580">
        <v>1</v>
      </c>
      <c r="AM580" s="19">
        <v>244</v>
      </c>
      <c r="AN580">
        <v>1</v>
      </c>
      <c r="AO580" s="19">
        <v>262</v>
      </c>
      <c r="AP580">
        <v>0</v>
      </c>
      <c r="AQ580" s="19">
        <v>0</v>
      </c>
    </row>
    <row r="581" spans="1:43" x14ac:dyDescent="0.35">
      <c r="A581" s="18">
        <v>45869</v>
      </c>
      <c r="B581" t="s">
        <v>58</v>
      </c>
      <c r="C581" t="s">
        <v>53</v>
      </c>
      <c r="D581">
        <v>6</v>
      </c>
      <c r="E581">
        <v>1</v>
      </c>
      <c r="F581">
        <v>5</v>
      </c>
      <c r="G581" s="19">
        <v>2980</v>
      </c>
      <c r="H581" s="19">
        <v>1324</v>
      </c>
      <c r="I581" s="19">
        <v>1656</v>
      </c>
      <c r="J581" s="19">
        <v>235</v>
      </c>
      <c r="K581" s="19">
        <v>94</v>
      </c>
      <c r="L581" s="19">
        <v>806</v>
      </c>
      <c r="M581" s="19">
        <v>66</v>
      </c>
      <c r="N581" s="19">
        <v>49</v>
      </c>
      <c r="O581" s="19">
        <f t="shared" si="18"/>
        <v>1250</v>
      </c>
      <c r="P581" s="19">
        <f t="shared" si="19"/>
        <v>1730</v>
      </c>
      <c r="Q581" t="s">
        <v>27</v>
      </c>
      <c r="R581" t="s">
        <v>65</v>
      </c>
      <c r="T581">
        <v>0</v>
      </c>
      <c r="U581" s="19">
        <v>0</v>
      </c>
      <c r="V581">
        <v>0</v>
      </c>
      <c r="W581" s="19">
        <v>0</v>
      </c>
      <c r="X581">
        <v>0</v>
      </c>
      <c r="Y581" s="19">
        <v>0</v>
      </c>
      <c r="Z581">
        <v>0</v>
      </c>
      <c r="AA581" s="19">
        <v>0</v>
      </c>
      <c r="AB581">
        <v>1</v>
      </c>
      <c r="AC581" s="19">
        <v>1324</v>
      </c>
      <c r="AD581">
        <v>0</v>
      </c>
      <c r="AE581" s="19">
        <v>0</v>
      </c>
      <c r="AF581">
        <v>0</v>
      </c>
      <c r="AG581" s="19">
        <v>0</v>
      </c>
      <c r="AH581">
        <v>1</v>
      </c>
      <c r="AI581" s="19">
        <v>309</v>
      </c>
      <c r="AJ581">
        <v>1</v>
      </c>
      <c r="AK581" s="19">
        <v>155</v>
      </c>
      <c r="AL581">
        <v>1</v>
      </c>
      <c r="AM581" s="19">
        <v>309</v>
      </c>
      <c r="AN581">
        <v>1</v>
      </c>
      <c r="AO581" s="19">
        <v>331</v>
      </c>
      <c r="AP581">
        <v>1</v>
      </c>
      <c r="AQ581" s="19">
        <v>552</v>
      </c>
    </row>
    <row r="582" spans="1:43" x14ac:dyDescent="0.35">
      <c r="A582" s="18">
        <v>45870</v>
      </c>
      <c r="B582" t="s">
        <v>59</v>
      </c>
      <c r="C582" t="s">
        <v>53</v>
      </c>
      <c r="D582">
        <v>6</v>
      </c>
      <c r="E582">
        <v>2</v>
      </c>
      <c r="F582">
        <v>4</v>
      </c>
      <c r="G582" s="19">
        <v>3347</v>
      </c>
      <c r="H582" s="19">
        <v>2586</v>
      </c>
      <c r="I582" s="19">
        <v>761</v>
      </c>
      <c r="J582" s="19">
        <v>235</v>
      </c>
      <c r="K582" s="19">
        <v>94</v>
      </c>
      <c r="L582" s="19">
        <v>806</v>
      </c>
      <c r="M582" s="19">
        <v>74</v>
      </c>
      <c r="N582" s="19">
        <v>49</v>
      </c>
      <c r="O582" s="19">
        <f t="shared" si="18"/>
        <v>1258</v>
      </c>
      <c r="P582" s="19">
        <f t="shared" si="19"/>
        <v>2089</v>
      </c>
      <c r="Q582" t="s">
        <v>23</v>
      </c>
      <c r="R582" t="s">
        <v>65</v>
      </c>
      <c r="T582">
        <v>1</v>
      </c>
      <c r="U582" s="19">
        <v>1674</v>
      </c>
      <c r="V582">
        <v>0</v>
      </c>
      <c r="W582" s="19">
        <v>0</v>
      </c>
      <c r="X582">
        <v>0</v>
      </c>
      <c r="Y582" s="19">
        <v>0</v>
      </c>
      <c r="Z582">
        <v>0</v>
      </c>
      <c r="AA582" s="19">
        <v>0</v>
      </c>
      <c r="AB582">
        <v>1</v>
      </c>
      <c r="AC582" s="19">
        <v>913</v>
      </c>
      <c r="AD582">
        <v>0</v>
      </c>
      <c r="AE582" s="19">
        <v>0</v>
      </c>
      <c r="AF582">
        <v>0</v>
      </c>
      <c r="AG582" s="19">
        <v>0</v>
      </c>
      <c r="AH582">
        <v>1</v>
      </c>
      <c r="AI582" s="19">
        <v>213</v>
      </c>
      <c r="AJ582">
        <v>1</v>
      </c>
      <c r="AK582" s="19">
        <v>106</v>
      </c>
      <c r="AL582">
        <v>1</v>
      </c>
      <c r="AM582" s="19">
        <v>213</v>
      </c>
      <c r="AN582">
        <v>1</v>
      </c>
      <c r="AO582" s="19">
        <v>228</v>
      </c>
      <c r="AP582">
        <v>0</v>
      </c>
      <c r="AQ582" s="19">
        <v>0</v>
      </c>
    </row>
    <row r="583" spans="1:43" x14ac:dyDescent="0.35">
      <c r="A583" s="18">
        <v>45871</v>
      </c>
      <c r="B583" t="s">
        <v>60</v>
      </c>
      <c r="C583" t="s">
        <v>61</v>
      </c>
      <c r="D583">
        <v>8</v>
      </c>
      <c r="E583">
        <v>3</v>
      </c>
      <c r="F583">
        <v>5</v>
      </c>
      <c r="G583" s="19">
        <v>4216</v>
      </c>
      <c r="H583" s="19">
        <v>3243</v>
      </c>
      <c r="I583" s="19">
        <v>973</v>
      </c>
      <c r="J583" s="19">
        <v>235</v>
      </c>
      <c r="K583" s="19">
        <v>94</v>
      </c>
      <c r="L583" s="19">
        <v>806</v>
      </c>
      <c r="M583" s="19">
        <v>93</v>
      </c>
      <c r="N583" s="19">
        <v>65</v>
      </c>
      <c r="O583" s="19">
        <f t="shared" si="18"/>
        <v>1293</v>
      </c>
      <c r="P583" s="19">
        <f t="shared" si="19"/>
        <v>2923</v>
      </c>
      <c r="Q583" t="s">
        <v>23</v>
      </c>
      <c r="R583" t="s">
        <v>65</v>
      </c>
      <c r="T583">
        <v>1</v>
      </c>
      <c r="U583" s="19">
        <v>1427</v>
      </c>
      <c r="V583">
        <v>0</v>
      </c>
      <c r="W583" s="19">
        <v>0</v>
      </c>
      <c r="X583">
        <v>0</v>
      </c>
      <c r="Y583" s="19">
        <v>0</v>
      </c>
      <c r="Z583">
        <v>1</v>
      </c>
      <c r="AA583" s="19">
        <v>1038</v>
      </c>
      <c r="AB583">
        <v>1</v>
      </c>
      <c r="AC583" s="19">
        <v>778</v>
      </c>
      <c r="AD583">
        <v>0</v>
      </c>
      <c r="AE583" s="19">
        <v>0</v>
      </c>
      <c r="AF583">
        <v>0</v>
      </c>
      <c r="AG583" s="19">
        <v>0</v>
      </c>
      <c r="AH583">
        <v>1</v>
      </c>
      <c r="AI583" s="19">
        <v>182</v>
      </c>
      <c r="AJ583">
        <v>1</v>
      </c>
      <c r="AK583" s="19">
        <v>91</v>
      </c>
      <c r="AL583">
        <v>1</v>
      </c>
      <c r="AM583" s="19">
        <v>182</v>
      </c>
      <c r="AN583">
        <v>1</v>
      </c>
      <c r="AO583" s="19">
        <v>195</v>
      </c>
      <c r="AP583">
        <v>1</v>
      </c>
      <c r="AQ583" s="19">
        <v>324</v>
      </c>
    </row>
    <row r="584" spans="1:43" x14ac:dyDescent="0.35">
      <c r="A584" s="18">
        <v>45872</v>
      </c>
      <c r="B584" t="s">
        <v>62</v>
      </c>
      <c r="C584" t="s">
        <v>61</v>
      </c>
      <c r="D584">
        <v>7</v>
      </c>
      <c r="E584">
        <v>2</v>
      </c>
      <c r="F584">
        <v>5</v>
      </c>
      <c r="G584" s="19">
        <v>3731</v>
      </c>
      <c r="H584" s="19">
        <v>2589</v>
      </c>
      <c r="I584" s="19">
        <v>1142</v>
      </c>
      <c r="J584" s="19">
        <v>235</v>
      </c>
      <c r="K584" s="19">
        <v>94</v>
      </c>
      <c r="L584" s="19">
        <v>806</v>
      </c>
      <c r="M584" s="19">
        <v>82</v>
      </c>
      <c r="N584" s="19">
        <v>57</v>
      </c>
      <c r="O584" s="19">
        <f t="shared" si="18"/>
        <v>1274</v>
      </c>
      <c r="P584" s="19">
        <f t="shared" si="19"/>
        <v>2457</v>
      </c>
      <c r="Q584" t="s">
        <v>23</v>
      </c>
      <c r="R584" t="s">
        <v>65</v>
      </c>
      <c r="T584">
        <v>1</v>
      </c>
      <c r="U584" s="19">
        <v>1675</v>
      </c>
      <c r="V584">
        <v>0</v>
      </c>
      <c r="W584" s="19">
        <v>0</v>
      </c>
      <c r="X584">
        <v>0</v>
      </c>
      <c r="Y584" s="19">
        <v>0</v>
      </c>
      <c r="Z584">
        <v>0</v>
      </c>
      <c r="AA584" s="19">
        <v>0</v>
      </c>
      <c r="AB584">
        <v>1</v>
      </c>
      <c r="AC584" s="19">
        <v>914</v>
      </c>
      <c r="AD584">
        <v>0</v>
      </c>
      <c r="AE584" s="19">
        <v>0</v>
      </c>
      <c r="AF584">
        <v>0</v>
      </c>
      <c r="AG584" s="19">
        <v>0</v>
      </c>
      <c r="AH584">
        <v>1</v>
      </c>
      <c r="AI584" s="19">
        <v>213</v>
      </c>
      <c r="AJ584">
        <v>1</v>
      </c>
      <c r="AK584" s="19">
        <v>107</v>
      </c>
      <c r="AL584">
        <v>1</v>
      </c>
      <c r="AM584" s="19">
        <v>213</v>
      </c>
      <c r="AN584">
        <v>1</v>
      </c>
      <c r="AO584" s="19">
        <v>228</v>
      </c>
      <c r="AP584">
        <v>1</v>
      </c>
      <c r="AQ584" s="19">
        <v>381</v>
      </c>
    </row>
    <row r="585" spans="1:43" x14ac:dyDescent="0.35">
      <c r="A585" s="18">
        <v>45873</v>
      </c>
      <c r="B585" t="s">
        <v>52</v>
      </c>
      <c r="C585" t="s">
        <v>53</v>
      </c>
      <c r="D585">
        <v>6</v>
      </c>
      <c r="E585">
        <v>2</v>
      </c>
      <c r="F585">
        <v>4</v>
      </c>
      <c r="G585" s="19">
        <v>2909</v>
      </c>
      <c r="H585" s="19">
        <v>2248</v>
      </c>
      <c r="I585" s="19">
        <v>661</v>
      </c>
      <c r="J585" s="19">
        <v>235</v>
      </c>
      <c r="K585" s="19">
        <v>94</v>
      </c>
      <c r="L585" s="19">
        <v>806</v>
      </c>
      <c r="M585" s="19">
        <v>64</v>
      </c>
      <c r="N585" s="19">
        <v>49</v>
      </c>
      <c r="O585" s="19">
        <f t="shared" si="18"/>
        <v>1248</v>
      </c>
      <c r="P585" s="19">
        <f t="shared" si="19"/>
        <v>1661</v>
      </c>
      <c r="Q585" t="s">
        <v>23</v>
      </c>
      <c r="R585" t="s">
        <v>65</v>
      </c>
      <c r="T585">
        <v>1</v>
      </c>
      <c r="U585" s="19">
        <v>1454</v>
      </c>
      <c r="V585">
        <v>0</v>
      </c>
      <c r="W585" s="19">
        <v>0</v>
      </c>
      <c r="X585">
        <v>0</v>
      </c>
      <c r="Y585" s="19">
        <v>0</v>
      </c>
      <c r="Z585">
        <v>0</v>
      </c>
      <c r="AA585" s="19">
        <v>0</v>
      </c>
      <c r="AB585">
        <v>1</v>
      </c>
      <c r="AC585" s="19">
        <v>793</v>
      </c>
      <c r="AD585">
        <v>0</v>
      </c>
      <c r="AE585" s="19">
        <v>0</v>
      </c>
      <c r="AF585">
        <v>0</v>
      </c>
      <c r="AG585" s="19">
        <v>0</v>
      </c>
      <c r="AH585">
        <v>1</v>
      </c>
      <c r="AI585" s="19">
        <v>185</v>
      </c>
      <c r="AJ585">
        <v>1</v>
      </c>
      <c r="AK585" s="19">
        <v>93</v>
      </c>
      <c r="AL585">
        <v>1</v>
      </c>
      <c r="AM585" s="19">
        <v>185</v>
      </c>
      <c r="AN585">
        <v>1</v>
      </c>
      <c r="AO585" s="19">
        <v>198</v>
      </c>
      <c r="AP585">
        <v>0</v>
      </c>
      <c r="AQ585" s="19">
        <v>0</v>
      </c>
    </row>
    <row r="586" spans="1:43" x14ac:dyDescent="0.35">
      <c r="A586" s="18">
        <v>45874</v>
      </c>
      <c r="B586" t="s">
        <v>56</v>
      </c>
      <c r="C586" t="s">
        <v>53</v>
      </c>
      <c r="D586">
        <v>6</v>
      </c>
      <c r="E586">
        <v>1</v>
      </c>
      <c r="F586">
        <v>5</v>
      </c>
      <c r="G586" s="19">
        <v>2932</v>
      </c>
      <c r="H586" s="19">
        <v>1303</v>
      </c>
      <c r="I586" s="19">
        <v>1629</v>
      </c>
      <c r="J586" s="19">
        <v>235</v>
      </c>
      <c r="K586" s="19">
        <v>94</v>
      </c>
      <c r="L586" s="19">
        <v>806</v>
      </c>
      <c r="M586" s="19">
        <v>65</v>
      </c>
      <c r="N586" s="19">
        <v>49</v>
      </c>
      <c r="O586" s="19">
        <f t="shared" si="18"/>
        <v>1249</v>
      </c>
      <c r="P586" s="19">
        <f t="shared" si="19"/>
        <v>1683</v>
      </c>
      <c r="Q586" t="s">
        <v>27</v>
      </c>
      <c r="R586" t="s">
        <v>65</v>
      </c>
      <c r="T586">
        <v>0</v>
      </c>
      <c r="U586" s="19">
        <v>0</v>
      </c>
      <c r="V586">
        <v>0</v>
      </c>
      <c r="W586" s="19">
        <v>0</v>
      </c>
      <c r="X586">
        <v>0</v>
      </c>
      <c r="Y586" s="19">
        <v>0</v>
      </c>
      <c r="Z586">
        <v>0</v>
      </c>
      <c r="AA586" s="19">
        <v>0</v>
      </c>
      <c r="AB586">
        <v>1</v>
      </c>
      <c r="AC586" s="19">
        <v>1303</v>
      </c>
      <c r="AD586">
        <v>0</v>
      </c>
      <c r="AE586" s="19">
        <v>0</v>
      </c>
      <c r="AF586">
        <v>0</v>
      </c>
      <c r="AG586" s="19">
        <v>0</v>
      </c>
      <c r="AH586">
        <v>1</v>
      </c>
      <c r="AI586" s="19">
        <v>304</v>
      </c>
      <c r="AJ586">
        <v>1</v>
      </c>
      <c r="AK586" s="19">
        <v>152</v>
      </c>
      <c r="AL586">
        <v>1</v>
      </c>
      <c r="AM586" s="19">
        <v>304</v>
      </c>
      <c r="AN586">
        <v>1</v>
      </c>
      <c r="AO586" s="19">
        <v>326</v>
      </c>
      <c r="AP586">
        <v>1</v>
      </c>
      <c r="AQ586" s="19">
        <v>543</v>
      </c>
    </row>
    <row r="587" spans="1:43" x14ac:dyDescent="0.35">
      <c r="A587" s="18">
        <v>45875</v>
      </c>
      <c r="B587" t="s">
        <v>57</v>
      </c>
      <c r="C587" t="s">
        <v>53</v>
      </c>
      <c r="D587">
        <v>6</v>
      </c>
      <c r="E587">
        <v>2</v>
      </c>
      <c r="F587">
        <v>4</v>
      </c>
      <c r="G587" s="19">
        <v>3201</v>
      </c>
      <c r="H587" s="19">
        <v>2474</v>
      </c>
      <c r="I587" s="19">
        <v>728</v>
      </c>
      <c r="J587" s="19">
        <v>235</v>
      </c>
      <c r="K587" s="19">
        <v>94</v>
      </c>
      <c r="L587" s="19">
        <v>806</v>
      </c>
      <c r="M587" s="19">
        <v>71</v>
      </c>
      <c r="N587" s="19">
        <v>49</v>
      </c>
      <c r="O587" s="19">
        <f t="shared" si="18"/>
        <v>1255</v>
      </c>
      <c r="P587" s="19">
        <f t="shared" si="19"/>
        <v>1946</v>
      </c>
      <c r="Q587" t="s">
        <v>23</v>
      </c>
      <c r="R587" t="s">
        <v>65</v>
      </c>
      <c r="T587">
        <v>1</v>
      </c>
      <c r="U587" s="19">
        <v>1600</v>
      </c>
      <c r="V587">
        <v>0</v>
      </c>
      <c r="W587" s="19">
        <v>0</v>
      </c>
      <c r="X587">
        <v>0</v>
      </c>
      <c r="Y587" s="19">
        <v>0</v>
      </c>
      <c r="Z587">
        <v>0</v>
      </c>
      <c r="AA587" s="19">
        <v>0</v>
      </c>
      <c r="AB587">
        <v>1</v>
      </c>
      <c r="AC587" s="19">
        <v>873</v>
      </c>
      <c r="AD587">
        <v>0</v>
      </c>
      <c r="AE587" s="19">
        <v>0</v>
      </c>
      <c r="AF587">
        <v>0</v>
      </c>
      <c r="AG587" s="19">
        <v>0</v>
      </c>
      <c r="AH587">
        <v>1</v>
      </c>
      <c r="AI587" s="19">
        <v>204</v>
      </c>
      <c r="AJ587">
        <v>1</v>
      </c>
      <c r="AK587" s="19">
        <v>102</v>
      </c>
      <c r="AL587">
        <v>1</v>
      </c>
      <c r="AM587" s="19">
        <v>204</v>
      </c>
      <c r="AN587">
        <v>1</v>
      </c>
      <c r="AO587" s="19">
        <v>218</v>
      </c>
      <c r="AP587">
        <v>0</v>
      </c>
      <c r="AQ587" s="19">
        <v>0</v>
      </c>
    </row>
    <row r="588" spans="1:43" x14ac:dyDescent="0.35">
      <c r="A588" s="18">
        <v>45876</v>
      </c>
      <c r="B588" t="s">
        <v>58</v>
      </c>
      <c r="C588" t="s">
        <v>53</v>
      </c>
      <c r="D588">
        <v>6</v>
      </c>
      <c r="E588">
        <v>2</v>
      </c>
      <c r="F588">
        <v>4</v>
      </c>
      <c r="G588" s="19">
        <v>3174</v>
      </c>
      <c r="H588" s="19">
        <v>2453</v>
      </c>
      <c r="I588" s="19">
        <v>721</v>
      </c>
      <c r="J588" s="19">
        <v>235</v>
      </c>
      <c r="K588" s="19">
        <v>94</v>
      </c>
      <c r="L588" s="19">
        <v>806</v>
      </c>
      <c r="M588" s="19">
        <v>70</v>
      </c>
      <c r="N588" s="19">
        <v>49</v>
      </c>
      <c r="O588" s="19">
        <f t="shared" si="18"/>
        <v>1254</v>
      </c>
      <c r="P588" s="19">
        <f t="shared" si="19"/>
        <v>1920</v>
      </c>
      <c r="Q588" t="s">
        <v>23</v>
      </c>
      <c r="R588" t="s">
        <v>65</v>
      </c>
      <c r="T588">
        <v>1</v>
      </c>
      <c r="U588" s="19">
        <v>1587</v>
      </c>
      <c r="V588">
        <v>0</v>
      </c>
      <c r="W588" s="19">
        <v>0</v>
      </c>
      <c r="X588">
        <v>0</v>
      </c>
      <c r="Y588" s="19">
        <v>0</v>
      </c>
      <c r="Z588">
        <v>0</v>
      </c>
      <c r="AA588" s="19">
        <v>0</v>
      </c>
      <c r="AB588">
        <v>1</v>
      </c>
      <c r="AC588" s="19">
        <v>866</v>
      </c>
      <c r="AD588">
        <v>0</v>
      </c>
      <c r="AE588" s="19">
        <v>0</v>
      </c>
      <c r="AF588">
        <v>0</v>
      </c>
      <c r="AG588" s="19">
        <v>0</v>
      </c>
      <c r="AH588">
        <v>1</v>
      </c>
      <c r="AI588" s="19">
        <v>202</v>
      </c>
      <c r="AJ588">
        <v>1</v>
      </c>
      <c r="AK588" s="19">
        <v>101</v>
      </c>
      <c r="AL588">
        <v>1</v>
      </c>
      <c r="AM588" s="19">
        <v>202</v>
      </c>
      <c r="AN588">
        <v>1</v>
      </c>
      <c r="AO588" s="19">
        <v>216</v>
      </c>
      <c r="AP588">
        <v>0</v>
      </c>
      <c r="AQ588" s="19">
        <v>0</v>
      </c>
    </row>
    <row r="589" spans="1:43" x14ac:dyDescent="0.35">
      <c r="A589" s="18">
        <v>45877</v>
      </c>
      <c r="B589" t="s">
        <v>59</v>
      </c>
      <c r="C589" t="s">
        <v>53</v>
      </c>
      <c r="D589">
        <v>6</v>
      </c>
      <c r="E589">
        <v>2</v>
      </c>
      <c r="F589">
        <v>4</v>
      </c>
      <c r="G589" s="19">
        <v>3284</v>
      </c>
      <c r="H589" s="19">
        <v>2538</v>
      </c>
      <c r="I589" s="19">
        <v>746</v>
      </c>
      <c r="J589" s="19">
        <v>235</v>
      </c>
      <c r="K589" s="19">
        <v>94</v>
      </c>
      <c r="L589" s="19">
        <v>806</v>
      </c>
      <c r="M589" s="19">
        <v>72</v>
      </c>
      <c r="N589" s="19">
        <v>49</v>
      </c>
      <c r="O589" s="19">
        <f t="shared" si="18"/>
        <v>1256</v>
      </c>
      <c r="P589" s="19">
        <f t="shared" si="19"/>
        <v>2028</v>
      </c>
      <c r="Q589" t="s">
        <v>23</v>
      </c>
      <c r="R589" t="s">
        <v>65</v>
      </c>
      <c r="T589">
        <v>1</v>
      </c>
      <c r="U589" s="19">
        <v>1642</v>
      </c>
      <c r="V589">
        <v>0</v>
      </c>
      <c r="W589" s="19">
        <v>0</v>
      </c>
      <c r="X589">
        <v>0</v>
      </c>
      <c r="Y589" s="19">
        <v>0</v>
      </c>
      <c r="Z589">
        <v>0</v>
      </c>
      <c r="AA589" s="19">
        <v>0</v>
      </c>
      <c r="AB589">
        <v>1</v>
      </c>
      <c r="AC589" s="19">
        <v>896</v>
      </c>
      <c r="AD589">
        <v>0</v>
      </c>
      <c r="AE589" s="19">
        <v>0</v>
      </c>
      <c r="AF589">
        <v>0</v>
      </c>
      <c r="AG589" s="19">
        <v>0</v>
      </c>
      <c r="AH589">
        <v>1</v>
      </c>
      <c r="AI589" s="19">
        <v>209</v>
      </c>
      <c r="AJ589">
        <v>1</v>
      </c>
      <c r="AK589" s="19">
        <v>104</v>
      </c>
      <c r="AL589">
        <v>1</v>
      </c>
      <c r="AM589" s="19">
        <v>209</v>
      </c>
      <c r="AN589">
        <v>1</v>
      </c>
      <c r="AO589" s="19">
        <v>224</v>
      </c>
      <c r="AP589">
        <v>0</v>
      </c>
      <c r="AQ589" s="19">
        <v>0</v>
      </c>
    </row>
    <row r="590" spans="1:43" x14ac:dyDescent="0.35">
      <c r="A590" s="18">
        <v>45878</v>
      </c>
      <c r="B590" t="s">
        <v>60</v>
      </c>
      <c r="C590" t="s">
        <v>61</v>
      </c>
      <c r="D590">
        <v>7</v>
      </c>
      <c r="E590">
        <v>2</v>
      </c>
      <c r="F590">
        <v>5</v>
      </c>
      <c r="G590" s="19">
        <v>3796</v>
      </c>
      <c r="H590" s="19">
        <v>2634</v>
      </c>
      <c r="I590" s="19">
        <v>1162</v>
      </c>
      <c r="J590" s="19">
        <v>235</v>
      </c>
      <c r="K590" s="19">
        <v>94</v>
      </c>
      <c r="L590" s="19">
        <v>806</v>
      </c>
      <c r="M590" s="19">
        <v>84</v>
      </c>
      <c r="N590" s="19">
        <v>57</v>
      </c>
      <c r="O590" s="19">
        <f t="shared" si="18"/>
        <v>1276</v>
      </c>
      <c r="P590" s="19">
        <f t="shared" si="19"/>
        <v>2520</v>
      </c>
      <c r="Q590" t="s">
        <v>23</v>
      </c>
      <c r="R590" t="s">
        <v>65</v>
      </c>
      <c r="T590">
        <v>1</v>
      </c>
      <c r="U590" s="19">
        <v>1704</v>
      </c>
      <c r="V590">
        <v>0</v>
      </c>
      <c r="W590" s="19">
        <v>0</v>
      </c>
      <c r="X590">
        <v>0</v>
      </c>
      <c r="Y590" s="19">
        <v>0</v>
      </c>
      <c r="Z590">
        <v>0</v>
      </c>
      <c r="AA590" s="19">
        <v>0</v>
      </c>
      <c r="AB590">
        <v>1</v>
      </c>
      <c r="AC590" s="19">
        <v>930</v>
      </c>
      <c r="AD590">
        <v>0</v>
      </c>
      <c r="AE590" s="19">
        <v>0</v>
      </c>
      <c r="AF590">
        <v>0</v>
      </c>
      <c r="AG590" s="19">
        <v>0</v>
      </c>
      <c r="AH590">
        <v>1</v>
      </c>
      <c r="AI590" s="19">
        <v>217</v>
      </c>
      <c r="AJ590">
        <v>1</v>
      </c>
      <c r="AK590" s="19">
        <v>108</v>
      </c>
      <c r="AL590">
        <v>1</v>
      </c>
      <c r="AM590" s="19">
        <v>217</v>
      </c>
      <c r="AN590">
        <v>1</v>
      </c>
      <c r="AO590" s="19">
        <v>232</v>
      </c>
      <c r="AP590">
        <v>1</v>
      </c>
      <c r="AQ590" s="19">
        <v>387</v>
      </c>
    </row>
    <row r="591" spans="1:43" x14ac:dyDescent="0.35">
      <c r="A591" s="18">
        <v>45879</v>
      </c>
      <c r="B591" t="s">
        <v>62</v>
      </c>
      <c r="C591" t="s">
        <v>61</v>
      </c>
      <c r="D591">
        <v>7</v>
      </c>
      <c r="E591">
        <v>2</v>
      </c>
      <c r="F591">
        <v>5</v>
      </c>
      <c r="G591" s="19">
        <v>3579</v>
      </c>
      <c r="H591" s="19">
        <v>2483</v>
      </c>
      <c r="I591" s="19">
        <v>1096</v>
      </c>
      <c r="J591" s="19">
        <v>235</v>
      </c>
      <c r="K591" s="19">
        <v>94</v>
      </c>
      <c r="L591" s="19">
        <v>806</v>
      </c>
      <c r="M591" s="19">
        <v>79</v>
      </c>
      <c r="N591" s="19">
        <v>57</v>
      </c>
      <c r="O591" s="19">
        <f t="shared" si="18"/>
        <v>1271</v>
      </c>
      <c r="P591" s="19">
        <f t="shared" si="19"/>
        <v>2308</v>
      </c>
      <c r="Q591" t="s">
        <v>23</v>
      </c>
      <c r="R591" t="s">
        <v>65</v>
      </c>
      <c r="T591">
        <v>1</v>
      </c>
      <c r="U591" s="19">
        <v>1607</v>
      </c>
      <c r="V591">
        <v>0</v>
      </c>
      <c r="W591" s="19">
        <v>0</v>
      </c>
      <c r="X591">
        <v>0</v>
      </c>
      <c r="Y591" s="19">
        <v>0</v>
      </c>
      <c r="Z591">
        <v>0</v>
      </c>
      <c r="AA591" s="19">
        <v>0</v>
      </c>
      <c r="AB591">
        <v>1</v>
      </c>
      <c r="AC591" s="19">
        <v>876</v>
      </c>
      <c r="AD591">
        <v>0</v>
      </c>
      <c r="AE591" s="19">
        <v>0</v>
      </c>
      <c r="AF591">
        <v>0</v>
      </c>
      <c r="AG591" s="19">
        <v>0</v>
      </c>
      <c r="AH591">
        <v>1</v>
      </c>
      <c r="AI591" s="19">
        <v>205</v>
      </c>
      <c r="AJ591">
        <v>1</v>
      </c>
      <c r="AK591" s="19">
        <v>102</v>
      </c>
      <c r="AL591">
        <v>1</v>
      </c>
      <c r="AM591" s="19">
        <v>205</v>
      </c>
      <c r="AN591">
        <v>1</v>
      </c>
      <c r="AO591" s="19">
        <v>219</v>
      </c>
      <c r="AP591">
        <v>1</v>
      </c>
      <c r="AQ591" s="19">
        <v>365</v>
      </c>
    </row>
    <row r="592" spans="1:43" x14ac:dyDescent="0.35">
      <c r="A592" s="18">
        <v>45880</v>
      </c>
      <c r="B592" t="s">
        <v>52</v>
      </c>
      <c r="C592" t="s">
        <v>53</v>
      </c>
      <c r="D592">
        <v>5</v>
      </c>
      <c r="E592">
        <v>1</v>
      </c>
      <c r="F592">
        <v>4</v>
      </c>
      <c r="G592" s="19">
        <v>2748</v>
      </c>
      <c r="H592" s="19">
        <v>1889</v>
      </c>
      <c r="I592" s="19">
        <v>859</v>
      </c>
      <c r="J592" s="19">
        <v>235</v>
      </c>
      <c r="K592" s="19">
        <v>94</v>
      </c>
      <c r="L592" s="19">
        <v>806</v>
      </c>
      <c r="M592" s="19">
        <v>61</v>
      </c>
      <c r="N592" s="19">
        <v>40</v>
      </c>
      <c r="O592" s="19">
        <f t="shared" si="18"/>
        <v>1236</v>
      </c>
      <c r="P592" s="19">
        <f t="shared" si="19"/>
        <v>1512</v>
      </c>
      <c r="Q592" t="s">
        <v>23</v>
      </c>
      <c r="R592" t="s">
        <v>65</v>
      </c>
      <c r="T592">
        <v>1</v>
      </c>
      <c r="U592" s="19">
        <v>1889</v>
      </c>
      <c r="V592">
        <v>0</v>
      </c>
      <c r="W592" s="19">
        <v>0</v>
      </c>
      <c r="X592">
        <v>0</v>
      </c>
      <c r="Y592" s="19">
        <v>0</v>
      </c>
      <c r="Z592">
        <v>0</v>
      </c>
      <c r="AA592" s="19">
        <v>0</v>
      </c>
      <c r="AB592">
        <v>0</v>
      </c>
      <c r="AC592" s="19">
        <v>0</v>
      </c>
      <c r="AD592">
        <v>0</v>
      </c>
      <c r="AE592" s="19">
        <v>0</v>
      </c>
      <c r="AF592">
        <v>0</v>
      </c>
      <c r="AG592" s="19">
        <v>0</v>
      </c>
      <c r="AH592">
        <v>1</v>
      </c>
      <c r="AI592" s="19">
        <v>240</v>
      </c>
      <c r="AJ592">
        <v>1</v>
      </c>
      <c r="AK592" s="19">
        <v>120</v>
      </c>
      <c r="AL592">
        <v>1</v>
      </c>
      <c r="AM592" s="19">
        <v>240</v>
      </c>
      <c r="AN592">
        <v>1</v>
      </c>
      <c r="AO592" s="19">
        <v>258</v>
      </c>
      <c r="AP592">
        <v>0</v>
      </c>
      <c r="AQ592" s="19">
        <v>0</v>
      </c>
    </row>
    <row r="593" spans="1:43" x14ac:dyDescent="0.35">
      <c r="A593" s="18">
        <v>45881</v>
      </c>
      <c r="B593" t="s">
        <v>56</v>
      </c>
      <c r="C593" t="s">
        <v>53</v>
      </c>
      <c r="D593">
        <v>5</v>
      </c>
      <c r="E593">
        <v>1</v>
      </c>
      <c r="F593">
        <v>4</v>
      </c>
      <c r="G593" s="19">
        <v>2835</v>
      </c>
      <c r="H593" s="19">
        <v>1546</v>
      </c>
      <c r="I593" s="19">
        <v>1289</v>
      </c>
      <c r="J593" s="19">
        <v>235</v>
      </c>
      <c r="K593" s="19">
        <v>94</v>
      </c>
      <c r="L593" s="19">
        <v>806</v>
      </c>
      <c r="M593" s="19">
        <v>63</v>
      </c>
      <c r="N593" s="19">
        <v>40</v>
      </c>
      <c r="O593" s="19">
        <f t="shared" si="18"/>
        <v>1238</v>
      </c>
      <c r="P593" s="19">
        <f t="shared" si="19"/>
        <v>1597</v>
      </c>
      <c r="Q593" t="s">
        <v>27</v>
      </c>
      <c r="R593" t="s">
        <v>65</v>
      </c>
      <c r="T593">
        <v>0</v>
      </c>
      <c r="U593" s="19">
        <v>0</v>
      </c>
      <c r="V593">
        <v>0</v>
      </c>
      <c r="W593" s="19">
        <v>0</v>
      </c>
      <c r="X593">
        <v>0</v>
      </c>
      <c r="Y593" s="19">
        <v>0</v>
      </c>
      <c r="Z593">
        <v>0</v>
      </c>
      <c r="AA593" s="19">
        <v>0</v>
      </c>
      <c r="AB593">
        <v>1</v>
      </c>
      <c r="AC593" s="19">
        <v>1546</v>
      </c>
      <c r="AD593">
        <v>0</v>
      </c>
      <c r="AE593" s="19">
        <v>0</v>
      </c>
      <c r="AF593">
        <v>0</v>
      </c>
      <c r="AG593" s="19">
        <v>0</v>
      </c>
      <c r="AH593">
        <v>1</v>
      </c>
      <c r="AI593" s="19">
        <v>361</v>
      </c>
      <c r="AJ593">
        <v>1</v>
      </c>
      <c r="AK593" s="19">
        <v>180</v>
      </c>
      <c r="AL593">
        <v>1</v>
      </c>
      <c r="AM593" s="19">
        <v>361</v>
      </c>
      <c r="AN593">
        <v>1</v>
      </c>
      <c r="AO593" s="19">
        <v>387</v>
      </c>
      <c r="AP593">
        <v>0</v>
      </c>
      <c r="AQ593" s="19">
        <v>0</v>
      </c>
    </row>
    <row r="594" spans="1:43" x14ac:dyDescent="0.35">
      <c r="A594" s="18">
        <v>45882</v>
      </c>
      <c r="B594" t="s">
        <v>57</v>
      </c>
      <c r="C594" t="s">
        <v>53</v>
      </c>
      <c r="D594">
        <v>6</v>
      </c>
      <c r="E594">
        <v>2</v>
      </c>
      <c r="F594">
        <v>4</v>
      </c>
      <c r="G594" s="19">
        <v>2962</v>
      </c>
      <c r="H594" s="19">
        <v>2289</v>
      </c>
      <c r="I594" s="19">
        <v>673</v>
      </c>
      <c r="J594" s="19">
        <v>235</v>
      </c>
      <c r="K594" s="19">
        <v>94</v>
      </c>
      <c r="L594" s="19">
        <v>806</v>
      </c>
      <c r="M594" s="19">
        <v>65</v>
      </c>
      <c r="N594" s="19">
        <v>49</v>
      </c>
      <c r="O594" s="19">
        <f t="shared" si="18"/>
        <v>1249</v>
      </c>
      <c r="P594" s="19">
        <f t="shared" si="19"/>
        <v>1713</v>
      </c>
      <c r="Q594" t="s">
        <v>23</v>
      </c>
      <c r="R594" t="s">
        <v>65</v>
      </c>
      <c r="T594">
        <v>1</v>
      </c>
      <c r="U594" s="19">
        <v>1481</v>
      </c>
      <c r="V594">
        <v>0</v>
      </c>
      <c r="W594" s="19">
        <v>0</v>
      </c>
      <c r="X594">
        <v>0</v>
      </c>
      <c r="Y594" s="19">
        <v>0</v>
      </c>
      <c r="Z594">
        <v>0</v>
      </c>
      <c r="AA594" s="19">
        <v>0</v>
      </c>
      <c r="AB594">
        <v>1</v>
      </c>
      <c r="AC594" s="19">
        <v>808</v>
      </c>
      <c r="AD594">
        <v>0</v>
      </c>
      <c r="AE594" s="19">
        <v>0</v>
      </c>
      <c r="AF594">
        <v>0</v>
      </c>
      <c r="AG594" s="19">
        <v>0</v>
      </c>
      <c r="AH594">
        <v>1</v>
      </c>
      <c r="AI594" s="19">
        <v>188</v>
      </c>
      <c r="AJ594">
        <v>1</v>
      </c>
      <c r="AK594" s="19">
        <v>94</v>
      </c>
      <c r="AL594">
        <v>1</v>
      </c>
      <c r="AM594" s="19">
        <v>188</v>
      </c>
      <c r="AN594">
        <v>1</v>
      </c>
      <c r="AO594" s="19">
        <v>202</v>
      </c>
      <c r="AP594">
        <v>0</v>
      </c>
      <c r="AQ594" s="19">
        <v>0</v>
      </c>
    </row>
    <row r="595" spans="1:43" x14ac:dyDescent="0.35">
      <c r="A595" s="18">
        <v>45883</v>
      </c>
      <c r="B595" t="s">
        <v>58</v>
      </c>
      <c r="C595" t="s">
        <v>53</v>
      </c>
      <c r="D595">
        <v>6</v>
      </c>
      <c r="E595">
        <v>2</v>
      </c>
      <c r="F595">
        <v>4</v>
      </c>
      <c r="G595" s="19">
        <v>3279</v>
      </c>
      <c r="H595" s="19">
        <v>2534</v>
      </c>
      <c r="I595" s="19">
        <v>745</v>
      </c>
      <c r="J595" s="19">
        <v>235</v>
      </c>
      <c r="K595" s="19">
        <v>94</v>
      </c>
      <c r="L595" s="19">
        <v>806</v>
      </c>
      <c r="M595" s="19">
        <v>72</v>
      </c>
      <c r="N595" s="19">
        <v>49</v>
      </c>
      <c r="O595" s="19">
        <f t="shared" si="18"/>
        <v>1256</v>
      </c>
      <c r="P595" s="19">
        <f t="shared" si="19"/>
        <v>2023</v>
      </c>
      <c r="Q595" t="s">
        <v>23</v>
      </c>
      <c r="R595" t="s">
        <v>65</v>
      </c>
      <c r="T595">
        <v>1</v>
      </c>
      <c r="U595" s="19">
        <v>1640</v>
      </c>
      <c r="V595">
        <v>0</v>
      </c>
      <c r="W595" s="19">
        <v>0</v>
      </c>
      <c r="X595">
        <v>0</v>
      </c>
      <c r="Y595" s="19">
        <v>0</v>
      </c>
      <c r="Z595">
        <v>0</v>
      </c>
      <c r="AA595" s="19">
        <v>0</v>
      </c>
      <c r="AB595">
        <v>1</v>
      </c>
      <c r="AC595" s="19">
        <v>894</v>
      </c>
      <c r="AD595">
        <v>0</v>
      </c>
      <c r="AE595" s="19">
        <v>0</v>
      </c>
      <c r="AF595">
        <v>0</v>
      </c>
      <c r="AG595" s="19">
        <v>0</v>
      </c>
      <c r="AH595">
        <v>1</v>
      </c>
      <c r="AI595" s="19">
        <v>209</v>
      </c>
      <c r="AJ595">
        <v>1</v>
      </c>
      <c r="AK595" s="19">
        <v>104</v>
      </c>
      <c r="AL595">
        <v>1</v>
      </c>
      <c r="AM595" s="19">
        <v>209</v>
      </c>
      <c r="AN595">
        <v>1</v>
      </c>
      <c r="AO595" s="19">
        <v>224</v>
      </c>
      <c r="AP595">
        <v>0</v>
      </c>
      <c r="AQ595" s="19">
        <v>0</v>
      </c>
    </row>
    <row r="596" spans="1:43" x14ac:dyDescent="0.35">
      <c r="A596" s="18">
        <v>45884</v>
      </c>
      <c r="B596" t="s">
        <v>59</v>
      </c>
      <c r="C596" t="s">
        <v>53</v>
      </c>
      <c r="D596">
        <v>7</v>
      </c>
      <c r="E596">
        <v>2</v>
      </c>
      <c r="F596">
        <v>5</v>
      </c>
      <c r="G596" s="19">
        <v>3531</v>
      </c>
      <c r="H596" s="19">
        <v>2450</v>
      </c>
      <c r="I596" s="19">
        <v>1081</v>
      </c>
      <c r="J596" s="19">
        <v>235</v>
      </c>
      <c r="K596" s="19">
        <v>94</v>
      </c>
      <c r="L596" s="19">
        <v>806</v>
      </c>
      <c r="M596" s="19">
        <v>78</v>
      </c>
      <c r="N596" s="19">
        <v>57</v>
      </c>
      <c r="O596" s="19">
        <f t="shared" si="18"/>
        <v>1270</v>
      </c>
      <c r="P596" s="19">
        <f t="shared" si="19"/>
        <v>2261</v>
      </c>
      <c r="Q596" t="s">
        <v>23</v>
      </c>
      <c r="R596" t="s">
        <v>65</v>
      </c>
      <c r="T596">
        <v>1</v>
      </c>
      <c r="U596" s="19">
        <v>1585</v>
      </c>
      <c r="V596">
        <v>0</v>
      </c>
      <c r="W596" s="19">
        <v>0</v>
      </c>
      <c r="X596">
        <v>0</v>
      </c>
      <c r="Y596" s="19">
        <v>0</v>
      </c>
      <c r="Z596">
        <v>0</v>
      </c>
      <c r="AA596" s="19">
        <v>0</v>
      </c>
      <c r="AB596">
        <v>1</v>
      </c>
      <c r="AC596" s="19">
        <v>865</v>
      </c>
      <c r="AD596">
        <v>0</v>
      </c>
      <c r="AE596" s="19">
        <v>0</v>
      </c>
      <c r="AF596">
        <v>0</v>
      </c>
      <c r="AG596" s="19">
        <v>0</v>
      </c>
      <c r="AH596">
        <v>1</v>
      </c>
      <c r="AI596" s="19">
        <v>202</v>
      </c>
      <c r="AJ596">
        <v>1</v>
      </c>
      <c r="AK596" s="19">
        <v>101</v>
      </c>
      <c r="AL596">
        <v>1</v>
      </c>
      <c r="AM596" s="19">
        <v>202</v>
      </c>
      <c r="AN596">
        <v>1</v>
      </c>
      <c r="AO596" s="19">
        <v>216</v>
      </c>
      <c r="AP596">
        <v>1</v>
      </c>
      <c r="AQ596" s="19">
        <v>360</v>
      </c>
    </row>
    <row r="597" spans="1:43" x14ac:dyDescent="0.35">
      <c r="A597" s="18">
        <v>45885</v>
      </c>
      <c r="B597" t="s">
        <v>60</v>
      </c>
      <c r="C597" t="s">
        <v>61</v>
      </c>
      <c r="D597">
        <v>7</v>
      </c>
      <c r="E597">
        <v>3</v>
      </c>
      <c r="F597">
        <v>4</v>
      </c>
      <c r="G597" s="19">
        <v>3963</v>
      </c>
      <c r="H597" s="19">
        <v>3302</v>
      </c>
      <c r="I597" s="19">
        <v>660</v>
      </c>
      <c r="J597" s="19">
        <v>235</v>
      </c>
      <c r="K597" s="19">
        <v>94</v>
      </c>
      <c r="L597" s="19">
        <v>806</v>
      </c>
      <c r="M597" s="19">
        <v>87</v>
      </c>
      <c r="N597" s="19">
        <v>57</v>
      </c>
      <c r="O597" s="19">
        <f t="shared" si="18"/>
        <v>1279</v>
      </c>
      <c r="P597" s="19">
        <f t="shared" si="19"/>
        <v>2684</v>
      </c>
      <c r="Q597" t="s">
        <v>23</v>
      </c>
      <c r="R597" t="s">
        <v>65</v>
      </c>
      <c r="T597">
        <v>1</v>
      </c>
      <c r="U597" s="19">
        <v>1453</v>
      </c>
      <c r="V597">
        <v>0</v>
      </c>
      <c r="W597" s="19">
        <v>0</v>
      </c>
      <c r="X597">
        <v>0</v>
      </c>
      <c r="Y597" s="19">
        <v>0</v>
      </c>
      <c r="Z597">
        <v>1</v>
      </c>
      <c r="AA597" s="19">
        <v>1057</v>
      </c>
      <c r="AB597">
        <v>1</v>
      </c>
      <c r="AC597" s="19">
        <v>793</v>
      </c>
      <c r="AD597">
        <v>0</v>
      </c>
      <c r="AE597" s="19">
        <v>0</v>
      </c>
      <c r="AF597">
        <v>0</v>
      </c>
      <c r="AG597" s="19">
        <v>0</v>
      </c>
      <c r="AH597">
        <v>1</v>
      </c>
      <c r="AI597" s="19">
        <v>185</v>
      </c>
      <c r="AJ597">
        <v>1</v>
      </c>
      <c r="AK597" s="19">
        <v>92</v>
      </c>
      <c r="AL597">
        <v>1</v>
      </c>
      <c r="AM597" s="19">
        <v>185</v>
      </c>
      <c r="AN597">
        <v>1</v>
      </c>
      <c r="AO597" s="19">
        <v>198</v>
      </c>
      <c r="AP597">
        <v>0</v>
      </c>
      <c r="AQ597" s="19">
        <v>0</v>
      </c>
    </row>
    <row r="598" spans="1:43" x14ac:dyDescent="0.35">
      <c r="A598" s="18">
        <v>45886</v>
      </c>
      <c r="B598" t="s">
        <v>62</v>
      </c>
      <c r="C598" t="s">
        <v>61</v>
      </c>
      <c r="D598">
        <v>7</v>
      </c>
      <c r="E598">
        <v>2</v>
      </c>
      <c r="F598">
        <v>5</v>
      </c>
      <c r="G598" s="19">
        <v>3466</v>
      </c>
      <c r="H598" s="19">
        <v>2405</v>
      </c>
      <c r="I598" s="19">
        <v>1061</v>
      </c>
      <c r="J598" s="19">
        <v>235</v>
      </c>
      <c r="K598" s="19">
        <v>94</v>
      </c>
      <c r="L598" s="19">
        <v>806</v>
      </c>
      <c r="M598" s="19">
        <v>76</v>
      </c>
      <c r="N598" s="19">
        <v>57</v>
      </c>
      <c r="O598" s="19">
        <f t="shared" si="18"/>
        <v>1268</v>
      </c>
      <c r="P598" s="19">
        <f t="shared" si="19"/>
        <v>2198</v>
      </c>
      <c r="Q598" t="s">
        <v>23</v>
      </c>
      <c r="R598" t="s">
        <v>65</v>
      </c>
      <c r="T598">
        <v>1</v>
      </c>
      <c r="U598" s="19">
        <v>1556</v>
      </c>
      <c r="V598">
        <v>0</v>
      </c>
      <c r="W598" s="19">
        <v>0</v>
      </c>
      <c r="X598">
        <v>0</v>
      </c>
      <c r="Y598" s="19">
        <v>0</v>
      </c>
      <c r="Z598">
        <v>0</v>
      </c>
      <c r="AA598" s="19">
        <v>0</v>
      </c>
      <c r="AB598">
        <v>1</v>
      </c>
      <c r="AC598" s="19">
        <v>849</v>
      </c>
      <c r="AD598">
        <v>0</v>
      </c>
      <c r="AE598" s="19">
        <v>0</v>
      </c>
      <c r="AF598">
        <v>0</v>
      </c>
      <c r="AG598" s="19">
        <v>0</v>
      </c>
      <c r="AH598">
        <v>1</v>
      </c>
      <c r="AI598" s="19">
        <v>198</v>
      </c>
      <c r="AJ598">
        <v>1</v>
      </c>
      <c r="AK598" s="19">
        <v>99</v>
      </c>
      <c r="AL598">
        <v>1</v>
      </c>
      <c r="AM598" s="19">
        <v>198</v>
      </c>
      <c r="AN598">
        <v>1</v>
      </c>
      <c r="AO598" s="19">
        <v>212</v>
      </c>
      <c r="AP598">
        <v>1</v>
      </c>
      <c r="AQ598" s="19">
        <v>354</v>
      </c>
    </row>
    <row r="599" spans="1:43" x14ac:dyDescent="0.35">
      <c r="A599" s="18">
        <v>45887</v>
      </c>
      <c r="B599" t="s">
        <v>52</v>
      </c>
      <c r="C599" t="s">
        <v>53</v>
      </c>
      <c r="D599">
        <v>6</v>
      </c>
      <c r="E599">
        <v>2</v>
      </c>
      <c r="F599">
        <v>4</v>
      </c>
      <c r="G599" s="19">
        <v>3111</v>
      </c>
      <c r="H599" s="19">
        <v>2404</v>
      </c>
      <c r="I599" s="19">
        <v>707</v>
      </c>
      <c r="J599" s="19">
        <v>235</v>
      </c>
      <c r="K599" s="19">
        <v>94</v>
      </c>
      <c r="L599" s="19">
        <v>806</v>
      </c>
      <c r="M599" s="19">
        <v>69</v>
      </c>
      <c r="N599" s="19">
        <v>49</v>
      </c>
      <c r="O599" s="19">
        <f t="shared" si="18"/>
        <v>1253</v>
      </c>
      <c r="P599" s="19">
        <f t="shared" si="19"/>
        <v>1858</v>
      </c>
      <c r="Q599" t="s">
        <v>23</v>
      </c>
      <c r="R599" t="s">
        <v>65</v>
      </c>
      <c r="T599">
        <v>1</v>
      </c>
      <c r="U599" s="19">
        <v>1556</v>
      </c>
      <c r="V599">
        <v>0</v>
      </c>
      <c r="W599" s="19">
        <v>0</v>
      </c>
      <c r="X599">
        <v>0</v>
      </c>
      <c r="Y599" s="19">
        <v>0</v>
      </c>
      <c r="Z599">
        <v>0</v>
      </c>
      <c r="AA599" s="19">
        <v>0</v>
      </c>
      <c r="AB599">
        <v>1</v>
      </c>
      <c r="AC599" s="19">
        <v>848</v>
      </c>
      <c r="AD599">
        <v>0</v>
      </c>
      <c r="AE599" s="19">
        <v>0</v>
      </c>
      <c r="AF599">
        <v>0</v>
      </c>
      <c r="AG599" s="19">
        <v>0</v>
      </c>
      <c r="AH599">
        <v>1</v>
      </c>
      <c r="AI599" s="19">
        <v>198</v>
      </c>
      <c r="AJ599">
        <v>1</v>
      </c>
      <c r="AK599" s="19">
        <v>99</v>
      </c>
      <c r="AL599">
        <v>1</v>
      </c>
      <c r="AM599" s="19">
        <v>198</v>
      </c>
      <c r="AN599">
        <v>1</v>
      </c>
      <c r="AO599" s="19">
        <v>212</v>
      </c>
      <c r="AP599">
        <v>0</v>
      </c>
      <c r="AQ599" s="19">
        <v>0</v>
      </c>
    </row>
    <row r="600" spans="1:43" x14ac:dyDescent="0.35">
      <c r="A600" s="18">
        <v>45888</v>
      </c>
      <c r="B600" t="s">
        <v>56</v>
      </c>
      <c r="C600" t="s">
        <v>53</v>
      </c>
      <c r="D600">
        <v>6</v>
      </c>
      <c r="E600">
        <v>1</v>
      </c>
      <c r="F600">
        <v>5</v>
      </c>
      <c r="G600" s="19">
        <v>3046</v>
      </c>
      <c r="H600" s="19">
        <v>1811</v>
      </c>
      <c r="I600" s="19">
        <v>1235</v>
      </c>
      <c r="J600" s="19">
        <v>235</v>
      </c>
      <c r="K600" s="19">
        <v>94</v>
      </c>
      <c r="L600" s="19">
        <v>806</v>
      </c>
      <c r="M600" s="19">
        <v>67</v>
      </c>
      <c r="N600" s="19">
        <v>49</v>
      </c>
      <c r="O600" s="19">
        <f t="shared" si="18"/>
        <v>1251</v>
      </c>
      <c r="P600" s="19">
        <f t="shared" si="19"/>
        <v>1795</v>
      </c>
      <c r="Q600" t="s">
        <v>23</v>
      </c>
      <c r="R600" t="s">
        <v>65</v>
      </c>
      <c r="T600">
        <v>1</v>
      </c>
      <c r="U600" s="19">
        <v>1811</v>
      </c>
      <c r="V600">
        <v>0</v>
      </c>
      <c r="W600" s="19">
        <v>0</v>
      </c>
      <c r="X600">
        <v>0</v>
      </c>
      <c r="Y600" s="19">
        <v>0</v>
      </c>
      <c r="Z600">
        <v>0</v>
      </c>
      <c r="AA600" s="19">
        <v>0</v>
      </c>
      <c r="AB600">
        <v>0</v>
      </c>
      <c r="AC600" s="19">
        <v>0</v>
      </c>
      <c r="AD600">
        <v>0</v>
      </c>
      <c r="AE600" s="19">
        <v>0</v>
      </c>
      <c r="AF600">
        <v>0</v>
      </c>
      <c r="AG600" s="19">
        <v>0</v>
      </c>
      <c r="AH600">
        <v>1</v>
      </c>
      <c r="AI600" s="19">
        <v>231</v>
      </c>
      <c r="AJ600">
        <v>1</v>
      </c>
      <c r="AK600" s="19">
        <v>115</v>
      </c>
      <c r="AL600">
        <v>1</v>
      </c>
      <c r="AM600" s="19">
        <v>231</v>
      </c>
      <c r="AN600">
        <v>1</v>
      </c>
      <c r="AO600" s="19">
        <v>247</v>
      </c>
      <c r="AP600">
        <v>1</v>
      </c>
      <c r="AQ600" s="19">
        <v>412</v>
      </c>
    </row>
    <row r="601" spans="1:43" x14ac:dyDescent="0.35">
      <c r="A601" s="18">
        <v>45889</v>
      </c>
      <c r="B601" t="s">
        <v>57</v>
      </c>
      <c r="C601" t="s">
        <v>53</v>
      </c>
      <c r="D601">
        <v>6</v>
      </c>
      <c r="E601">
        <v>2</v>
      </c>
      <c r="F601">
        <v>4</v>
      </c>
      <c r="G601" s="19">
        <v>3201</v>
      </c>
      <c r="H601" s="19">
        <v>2474</v>
      </c>
      <c r="I601" s="19">
        <v>728</v>
      </c>
      <c r="J601" s="19">
        <v>235</v>
      </c>
      <c r="K601" s="19">
        <v>94</v>
      </c>
      <c r="L601" s="19">
        <v>806</v>
      </c>
      <c r="M601" s="19">
        <v>71</v>
      </c>
      <c r="N601" s="19">
        <v>49</v>
      </c>
      <c r="O601" s="19">
        <f t="shared" si="18"/>
        <v>1255</v>
      </c>
      <c r="P601" s="19">
        <f t="shared" si="19"/>
        <v>1946</v>
      </c>
      <c r="Q601" t="s">
        <v>23</v>
      </c>
      <c r="R601" t="s">
        <v>65</v>
      </c>
      <c r="T601">
        <v>1</v>
      </c>
      <c r="U601" s="19">
        <v>1600</v>
      </c>
      <c r="V601">
        <v>0</v>
      </c>
      <c r="W601" s="19">
        <v>0</v>
      </c>
      <c r="X601">
        <v>0</v>
      </c>
      <c r="Y601" s="19">
        <v>0</v>
      </c>
      <c r="Z601">
        <v>0</v>
      </c>
      <c r="AA601" s="19">
        <v>0</v>
      </c>
      <c r="AB601">
        <v>1</v>
      </c>
      <c r="AC601" s="19">
        <v>873</v>
      </c>
      <c r="AD601">
        <v>0</v>
      </c>
      <c r="AE601" s="19">
        <v>0</v>
      </c>
      <c r="AF601">
        <v>0</v>
      </c>
      <c r="AG601" s="19">
        <v>0</v>
      </c>
      <c r="AH601">
        <v>1</v>
      </c>
      <c r="AI601" s="19">
        <v>204</v>
      </c>
      <c r="AJ601">
        <v>1</v>
      </c>
      <c r="AK601" s="19">
        <v>102</v>
      </c>
      <c r="AL601">
        <v>1</v>
      </c>
      <c r="AM601" s="19">
        <v>204</v>
      </c>
      <c r="AN601">
        <v>1</v>
      </c>
      <c r="AO601" s="19">
        <v>218</v>
      </c>
      <c r="AP601">
        <v>0</v>
      </c>
      <c r="AQ601" s="19">
        <v>0</v>
      </c>
    </row>
    <row r="602" spans="1:43" x14ac:dyDescent="0.35">
      <c r="A602" s="18">
        <v>45890</v>
      </c>
      <c r="B602" t="s">
        <v>58</v>
      </c>
      <c r="C602" t="s">
        <v>53</v>
      </c>
      <c r="D602">
        <v>6</v>
      </c>
      <c r="E602">
        <v>1</v>
      </c>
      <c r="F602">
        <v>5</v>
      </c>
      <c r="G602" s="19">
        <v>2930</v>
      </c>
      <c r="H602" s="19">
        <v>1742</v>
      </c>
      <c r="I602" s="19">
        <v>1188</v>
      </c>
      <c r="J602" s="19">
        <v>235</v>
      </c>
      <c r="K602" s="19">
        <v>94</v>
      </c>
      <c r="L602" s="19">
        <v>806</v>
      </c>
      <c r="M602" s="19">
        <v>65</v>
      </c>
      <c r="N602" s="19">
        <v>49</v>
      </c>
      <c r="O602" s="19">
        <f t="shared" si="18"/>
        <v>1249</v>
      </c>
      <c r="P602" s="19">
        <f t="shared" si="19"/>
        <v>1681</v>
      </c>
      <c r="Q602" t="s">
        <v>23</v>
      </c>
      <c r="R602" t="s">
        <v>65</v>
      </c>
      <c r="T602">
        <v>1</v>
      </c>
      <c r="U602" s="19">
        <v>1742</v>
      </c>
      <c r="V602">
        <v>0</v>
      </c>
      <c r="W602" s="19">
        <v>0</v>
      </c>
      <c r="X602">
        <v>0</v>
      </c>
      <c r="Y602" s="19">
        <v>0</v>
      </c>
      <c r="Z602">
        <v>0</v>
      </c>
      <c r="AA602" s="19">
        <v>0</v>
      </c>
      <c r="AB602">
        <v>0</v>
      </c>
      <c r="AC602" s="19">
        <v>0</v>
      </c>
      <c r="AD602">
        <v>0</v>
      </c>
      <c r="AE602" s="19">
        <v>0</v>
      </c>
      <c r="AF602">
        <v>0</v>
      </c>
      <c r="AG602" s="19">
        <v>0</v>
      </c>
      <c r="AH602">
        <v>1</v>
      </c>
      <c r="AI602" s="19">
        <v>222</v>
      </c>
      <c r="AJ602">
        <v>1</v>
      </c>
      <c r="AK602" s="19">
        <v>111</v>
      </c>
      <c r="AL602">
        <v>1</v>
      </c>
      <c r="AM602" s="19">
        <v>222</v>
      </c>
      <c r="AN602">
        <v>1</v>
      </c>
      <c r="AO602" s="19">
        <v>238</v>
      </c>
      <c r="AP602">
        <v>1</v>
      </c>
      <c r="AQ602" s="19">
        <v>396</v>
      </c>
    </row>
    <row r="603" spans="1:43" x14ac:dyDescent="0.35">
      <c r="A603" s="18">
        <v>45891</v>
      </c>
      <c r="B603" t="s">
        <v>59</v>
      </c>
      <c r="C603" t="s">
        <v>53</v>
      </c>
      <c r="D603">
        <v>6</v>
      </c>
      <c r="E603">
        <v>2</v>
      </c>
      <c r="F603">
        <v>4</v>
      </c>
      <c r="G603" s="19">
        <v>3290</v>
      </c>
      <c r="H603" s="19">
        <v>2542</v>
      </c>
      <c r="I603" s="19">
        <v>748</v>
      </c>
      <c r="J603" s="19">
        <v>235</v>
      </c>
      <c r="K603" s="19">
        <v>94</v>
      </c>
      <c r="L603" s="19">
        <v>806</v>
      </c>
      <c r="M603" s="19">
        <v>73</v>
      </c>
      <c r="N603" s="19">
        <v>49</v>
      </c>
      <c r="O603" s="19">
        <f t="shared" si="18"/>
        <v>1257</v>
      </c>
      <c r="P603" s="19">
        <f t="shared" si="19"/>
        <v>2033</v>
      </c>
      <c r="Q603" t="s">
        <v>23</v>
      </c>
      <c r="R603" t="s">
        <v>65</v>
      </c>
      <c r="T603">
        <v>1</v>
      </c>
      <c r="U603" s="19">
        <v>1645</v>
      </c>
      <c r="V603">
        <v>0</v>
      </c>
      <c r="W603" s="19">
        <v>0</v>
      </c>
      <c r="X603">
        <v>0</v>
      </c>
      <c r="Y603" s="19">
        <v>0</v>
      </c>
      <c r="Z603">
        <v>0</v>
      </c>
      <c r="AA603" s="19">
        <v>0</v>
      </c>
      <c r="AB603">
        <v>1</v>
      </c>
      <c r="AC603" s="19">
        <v>897</v>
      </c>
      <c r="AD603">
        <v>0</v>
      </c>
      <c r="AE603" s="19">
        <v>0</v>
      </c>
      <c r="AF603">
        <v>0</v>
      </c>
      <c r="AG603" s="19">
        <v>0</v>
      </c>
      <c r="AH603">
        <v>1</v>
      </c>
      <c r="AI603" s="19">
        <v>209</v>
      </c>
      <c r="AJ603">
        <v>1</v>
      </c>
      <c r="AK603" s="19">
        <v>105</v>
      </c>
      <c r="AL603">
        <v>1</v>
      </c>
      <c r="AM603" s="19">
        <v>209</v>
      </c>
      <c r="AN603">
        <v>1</v>
      </c>
      <c r="AO603" s="19">
        <v>224</v>
      </c>
      <c r="AP603">
        <v>0</v>
      </c>
      <c r="AQ603" s="19">
        <v>0</v>
      </c>
    </row>
    <row r="604" spans="1:43" x14ac:dyDescent="0.35">
      <c r="A604" s="18">
        <v>45892</v>
      </c>
      <c r="B604" t="s">
        <v>60</v>
      </c>
      <c r="C604" t="s">
        <v>61</v>
      </c>
      <c r="D604">
        <v>8</v>
      </c>
      <c r="E604">
        <v>3</v>
      </c>
      <c r="F604">
        <v>5</v>
      </c>
      <c r="G604" s="19">
        <v>4278</v>
      </c>
      <c r="H604" s="19">
        <v>3039</v>
      </c>
      <c r="I604" s="19">
        <v>1239</v>
      </c>
      <c r="J604" s="19">
        <v>235</v>
      </c>
      <c r="K604" s="19">
        <v>94</v>
      </c>
      <c r="L604" s="19">
        <v>806</v>
      </c>
      <c r="M604" s="19">
        <v>94</v>
      </c>
      <c r="N604" s="19">
        <v>65</v>
      </c>
      <c r="O604" s="19">
        <f t="shared" si="18"/>
        <v>1294</v>
      </c>
      <c r="P604" s="19">
        <f t="shared" si="19"/>
        <v>2984</v>
      </c>
      <c r="Q604" t="s">
        <v>23</v>
      </c>
      <c r="R604" t="s">
        <v>65</v>
      </c>
      <c r="T604">
        <v>1</v>
      </c>
      <c r="U604" s="19">
        <v>1817</v>
      </c>
      <c r="V604">
        <v>0</v>
      </c>
      <c r="W604" s="19">
        <v>0</v>
      </c>
      <c r="X604">
        <v>0</v>
      </c>
      <c r="Y604" s="19">
        <v>0</v>
      </c>
      <c r="Z604">
        <v>0</v>
      </c>
      <c r="AA604" s="19">
        <v>0</v>
      </c>
      <c r="AB604">
        <v>1</v>
      </c>
      <c r="AC604" s="19">
        <v>991</v>
      </c>
      <c r="AD604">
        <v>0</v>
      </c>
      <c r="AE604" s="19">
        <v>0</v>
      </c>
      <c r="AF604">
        <v>0</v>
      </c>
      <c r="AG604" s="19">
        <v>0</v>
      </c>
      <c r="AH604">
        <v>2</v>
      </c>
      <c r="AI604" s="19">
        <v>462</v>
      </c>
      <c r="AJ604">
        <v>1</v>
      </c>
      <c r="AK604" s="19">
        <v>116</v>
      </c>
      <c r="AL604">
        <v>1</v>
      </c>
      <c r="AM604" s="19">
        <v>231</v>
      </c>
      <c r="AN604">
        <v>1</v>
      </c>
      <c r="AO604" s="19">
        <v>248</v>
      </c>
      <c r="AP604">
        <v>1</v>
      </c>
      <c r="AQ604" s="19">
        <v>413</v>
      </c>
    </row>
    <row r="605" spans="1:43" x14ac:dyDescent="0.35">
      <c r="A605" s="18">
        <v>45893</v>
      </c>
      <c r="B605" t="s">
        <v>62</v>
      </c>
      <c r="C605" t="s">
        <v>61</v>
      </c>
      <c r="D605">
        <v>8</v>
      </c>
      <c r="E605">
        <v>3</v>
      </c>
      <c r="F605">
        <v>5</v>
      </c>
      <c r="G605" s="19">
        <v>3937</v>
      </c>
      <c r="H605" s="19">
        <v>2797</v>
      </c>
      <c r="I605" s="19">
        <v>1140</v>
      </c>
      <c r="J605" s="19">
        <v>235</v>
      </c>
      <c r="K605" s="19">
        <v>94</v>
      </c>
      <c r="L605" s="19">
        <v>806</v>
      </c>
      <c r="M605" s="19">
        <v>87</v>
      </c>
      <c r="N605" s="19">
        <v>65</v>
      </c>
      <c r="O605" s="19">
        <f t="shared" si="18"/>
        <v>1287</v>
      </c>
      <c r="P605" s="19">
        <f t="shared" si="19"/>
        <v>2650</v>
      </c>
      <c r="Q605" t="s">
        <v>23</v>
      </c>
      <c r="R605" t="s">
        <v>65</v>
      </c>
      <c r="T605">
        <v>1</v>
      </c>
      <c r="U605" s="19">
        <v>1672</v>
      </c>
      <c r="V605">
        <v>0</v>
      </c>
      <c r="W605" s="19">
        <v>0</v>
      </c>
      <c r="X605">
        <v>0</v>
      </c>
      <c r="Y605" s="19">
        <v>0</v>
      </c>
      <c r="Z605">
        <v>0</v>
      </c>
      <c r="AA605" s="19">
        <v>0</v>
      </c>
      <c r="AB605">
        <v>1</v>
      </c>
      <c r="AC605" s="19">
        <v>912</v>
      </c>
      <c r="AD605">
        <v>0</v>
      </c>
      <c r="AE605" s="19">
        <v>0</v>
      </c>
      <c r="AF605">
        <v>0</v>
      </c>
      <c r="AG605" s="19">
        <v>0</v>
      </c>
      <c r="AH605">
        <v>2</v>
      </c>
      <c r="AI605" s="19">
        <v>426</v>
      </c>
      <c r="AJ605">
        <v>1</v>
      </c>
      <c r="AK605" s="19">
        <v>106</v>
      </c>
      <c r="AL605">
        <v>1</v>
      </c>
      <c r="AM605" s="19">
        <v>213</v>
      </c>
      <c r="AN605">
        <v>1</v>
      </c>
      <c r="AO605" s="19">
        <v>228</v>
      </c>
      <c r="AP605">
        <v>1</v>
      </c>
      <c r="AQ605" s="19">
        <v>380</v>
      </c>
    </row>
    <row r="606" spans="1:43" x14ac:dyDescent="0.35">
      <c r="A606" s="18">
        <v>45894</v>
      </c>
      <c r="B606" t="s">
        <v>52</v>
      </c>
      <c r="C606" t="s">
        <v>53</v>
      </c>
      <c r="D606">
        <v>6</v>
      </c>
      <c r="E606">
        <v>2</v>
      </c>
      <c r="F606">
        <v>4</v>
      </c>
      <c r="G606" s="19">
        <v>2968</v>
      </c>
      <c r="H606" s="19">
        <v>2293</v>
      </c>
      <c r="I606" s="19">
        <v>675</v>
      </c>
      <c r="J606" s="19">
        <v>235</v>
      </c>
      <c r="K606" s="19">
        <v>94</v>
      </c>
      <c r="L606" s="19">
        <v>806</v>
      </c>
      <c r="M606" s="19">
        <v>65</v>
      </c>
      <c r="N606" s="19">
        <v>49</v>
      </c>
      <c r="O606" s="19">
        <f t="shared" si="18"/>
        <v>1249</v>
      </c>
      <c r="P606" s="19">
        <f t="shared" si="19"/>
        <v>1719</v>
      </c>
      <c r="Q606" t="s">
        <v>23</v>
      </c>
      <c r="R606" t="s">
        <v>65</v>
      </c>
      <c r="T606">
        <v>1</v>
      </c>
      <c r="U606" s="19">
        <v>1484</v>
      </c>
      <c r="V606">
        <v>0</v>
      </c>
      <c r="W606" s="19">
        <v>0</v>
      </c>
      <c r="X606">
        <v>0</v>
      </c>
      <c r="Y606" s="19">
        <v>0</v>
      </c>
      <c r="Z606">
        <v>0</v>
      </c>
      <c r="AA606" s="19">
        <v>0</v>
      </c>
      <c r="AB606">
        <v>1</v>
      </c>
      <c r="AC606" s="19">
        <v>809</v>
      </c>
      <c r="AD606">
        <v>0</v>
      </c>
      <c r="AE606" s="19">
        <v>0</v>
      </c>
      <c r="AF606">
        <v>0</v>
      </c>
      <c r="AG606" s="19">
        <v>0</v>
      </c>
      <c r="AH606">
        <v>1</v>
      </c>
      <c r="AI606" s="19">
        <v>189</v>
      </c>
      <c r="AJ606">
        <v>1</v>
      </c>
      <c r="AK606" s="19">
        <v>94</v>
      </c>
      <c r="AL606">
        <v>1</v>
      </c>
      <c r="AM606" s="19">
        <v>189</v>
      </c>
      <c r="AN606">
        <v>1</v>
      </c>
      <c r="AO606" s="19">
        <v>202</v>
      </c>
      <c r="AP606">
        <v>0</v>
      </c>
      <c r="AQ606" s="19">
        <v>0</v>
      </c>
    </row>
    <row r="607" spans="1:43" x14ac:dyDescent="0.35">
      <c r="A607" s="18">
        <v>45895</v>
      </c>
      <c r="B607" t="s">
        <v>56</v>
      </c>
      <c r="C607" t="s">
        <v>53</v>
      </c>
      <c r="D607">
        <v>6</v>
      </c>
      <c r="E607">
        <v>2</v>
      </c>
      <c r="F607">
        <v>4</v>
      </c>
      <c r="G607" s="19">
        <v>3042</v>
      </c>
      <c r="H607" s="19">
        <v>2351</v>
      </c>
      <c r="I607" s="19">
        <v>691</v>
      </c>
      <c r="J607" s="19">
        <v>235</v>
      </c>
      <c r="K607" s="19">
        <v>94</v>
      </c>
      <c r="L607" s="19">
        <v>806</v>
      </c>
      <c r="M607" s="19">
        <v>67</v>
      </c>
      <c r="N607" s="19">
        <v>49</v>
      </c>
      <c r="O607" s="19">
        <f t="shared" si="18"/>
        <v>1251</v>
      </c>
      <c r="P607" s="19">
        <f t="shared" si="19"/>
        <v>1791</v>
      </c>
      <c r="Q607" t="s">
        <v>23</v>
      </c>
      <c r="R607" t="s">
        <v>65</v>
      </c>
      <c r="T607">
        <v>1</v>
      </c>
      <c r="U607" s="19">
        <v>1521</v>
      </c>
      <c r="V607">
        <v>0</v>
      </c>
      <c r="W607" s="19">
        <v>0</v>
      </c>
      <c r="X607">
        <v>0</v>
      </c>
      <c r="Y607" s="19">
        <v>0</v>
      </c>
      <c r="Z607">
        <v>0</v>
      </c>
      <c r="AA607" s="19">
        <v>0</v>
      </c>
      <c r="AB607">
        <v>1</v>
      </c>
      <c r="AC607" s="19">
        <v>830</v>
      </c>
      <c r="AD607">
        <v>0</v>
      </c>
      <c r="AE607" s="19">
        <v>0</v>
      </c>
      <c r="AF607">
        <v>0</v>
      </c>
      <c r="AG607" s="19">
        <v>0</v>
      </c>
      <c r="AH607">
        <v>1</v>
      </c>
      <c r="AI607" s="19">
        <v>194</v>
      </c>
      <c r="AJ607">
        <v>1</v>
      </c>
      <c r="AK607" s="19">
        <v>97</v>
      </c>
      <c r="AL607">
        <v>1</v>
      </c>
      <c r="AM607" s="19">
        <v>194</v>
      </c>
      <c r="AN607">
        <v>1</v>
      </c>
      <c r="AO607" s="19">
        <v>207</v>
      </c>
      <c r="AP607">
        <v>0</v>
      </c>
      <c r="AQ607" s="19">
        <v>0</v>
      </c>
    </row>
    <row r="608" spans="1:43" x14ac:dyDescent="0.35">
      <c r="A608" s="18">
        <v>45896</v>
      </c>
      <c r="B608" t="s">
        <v>57</v>
      </c>
      <c r="C608" t="s">
        <v>53</v>
      </c>
      <c r="D608">
        <v>6</v>
      </c>
      <c r="E608">
        <v>1</v>
      </c>
      <c r="F608">
        <v>5</v>
      </c>
      <c r="G608" s="19">
        <v>3045</v>
      </c>
      <c r="H608" s="19">
        <v>1353</v>
      </c>
      <c r="I608" s="19">
        <v>1692</v>
      </c>
      <c r="J608" s="19">
        <v>235</v>
      </c>
      <c r="K608" s="19">
        <v>94</v>
      </c>
      <c r="L608" s="19">
        <v>806</v>
      </c>
      <c r="M608" s="19">
        <v>67</v>
      </c>
      <c r="N608" s="19">
        <v>49</v>
      </c>
      <c r="O608" s="19">
        <f t="shared" si="18"/>
        <v>1251</v>
      </c>
      <c r="P608" s="19">
        <f t="shared" si="19"/>
        <v>1794</v>
      </c>
      <c r="Q608" t="s">
        <v>27</v>
      </c>
      <c r="R608" t="s">
        <v>65</v>
      </c>
      <c r="T608">
        <v>0</v>
      </c>
      <c r="U608" s="19">
        <v>0</v>
      </c>
      <c r="V608">
        <v>0</v>
      </c>
      <c r="W608" s="19">
        <v>0</v>
      </c>
      <c r="X608">
        <v>0</v>
      </c>
      <c r="Y608" s="19">
        <v>0</v>
      </c>
      <c r="Z608">
        <v>0</v>
      </c>
      <c r="AA608" s="19">
        <v>0</v>
      </c>
      <c r="AB608">
        <v>1</v>
      </c>
      <c r="AC608" s="19">
        <v>1353</v>
      </c>
      <c r="AD608">
        <v>0</v>
      </c>
      <c r="AE608" s="19">
        <v>0</v>
      </c>
      <c r="AF608">
        <v>0</v>
      </c>
      <c r="AG608" s="19">
        <v>0</v>
      </c>
      <c r="AH608">
        <v>1</v>
      </c>
      <c r="AI608" s="19">
        <v>316</v>
      </c>
      <c r="AJ608">
        <v>1</v>
      </c>
      <c r="AK608" s="19">
        <v>158</v>
      </c>
      <c r="AL608">
        <v>1</v>
      </c>
      <c r="AM608" s="19">
        <v>316</v>
      </c>
      <c r="AN608">
        <v>1</v>
      </c>
      <c r="AO608" s="19">
        <v>338</v>
      </c>
      <c r="AP608">
        <v>1</v>
      </c>
      <c r="AQ608" s="19">
        <v>564</v>
      </c>
    </row>
    <row r="609" spans="1:43" x14ac:dyDescent="0.35">
      <c r="A609" s="18">
        <v>45897</v>
      </c>
      <c r="B609" t="s">
        <v>58</v>
      </c>
      <c r="C609" t="s">
        <v>53</v>
      </c>
      <c r="D609">
        <v>6</v>
      </c>
      <c r="E609">
        <v>2</v>
      </c>
      <c r="F609">
        <v>4</v>
      </c>
      <c r="G609" s="19">
        <v>3085</v>
      </c>
      <c r="H609" s="19">
        <v>2384</v>
      </c>
      <c r="I609" s="19">
        <v>701</v>
      </c>
      <c r="J609" s="19">
        <v>235</v>
      </c>
      <c r="K609" s="19">
        <v>94</v>
      </c>
      <c r="L609" s="19">
        <v>806</v>
      </c>
      <c r="M609" s="19">
        <v>68</v>
      </c>
      <c r="N609" s="19">
        <v>49</v>
      </c>
      <c r="O609" s="19">
        <f t="shared" si="18"/>
        <v>1252</v>
      </c>
      <c r="P609" s="19">
        <f t="shared" si="19"/>
        <v>1833</v>
      </c>
      <c r="Q609" t="s">
        <v>23</v>
      </c>
      <c r="R609" t="s">
        <v>65</v>
      </c>
      <c r="T609">
        <v>1</v>
      </c>
      <c r="U609" s="19">
        <v>1542</v>
      </c>
      <c r="V609">
        <v>0</v>
      </c>
      <c r="W609" s="19">
        <v>0</v>
      </c>
      <c r="X609">
        <v>0</v>
      </c>
      <c r="Y609" s="19">
        <v>0</v>
      </c>
      <c r="Z609">
        <v>0</v>
      </c>
      <c r="AA609" s="19">
        <v>0</v>
      </c>
      <c r="AB609">
        <v>1</v>
      </c>
      <c r="AC609" s="19">
        <v>841</v>
      </c>
      <c r="AD609">
        <v>0</v>
      </c>
      <c r="AE609" s="19">
        <v>0</v>
      </c>
      <c r="AF609">
        <v>0</v>
      </c>
      <c r="AG609" s="19">
        <v>0</v>
      </c>
      <c r="AH609">
        <v>1</v>
      </c>
      <c r="AI609" s="19">
        <v>196</v>
      </c>
      <c r="AJ609">
        <v>1</v>
      </c>
      <c r="AK609" s="19">
        <v>98</v>
      </c>
      <c r="AL609">
        <v>1</v>
      </c>
      <c r="AM609" s="19">
        <v>196</v>
      </c>
      <c r="AN609">
        <v>1</v>
      </c>
      <c r="AO609" s="19">
        <v>210</v>
      </c>
      <c r="AP609">
        <v>0</v>
      </c>
      <c r="AQ609" s="19">
        <v>0</v>
      </c>
    </row>
    <row r="610" spans="1:43" x14ac:dyDescent="0.35">
      <c r="A610" s="18">
        <v>45898</v>
      </c>
      <c r="B610" t="s">
        <v>59</v>
      </c>
      <c r="C610" t="s">
        <v>53</v>
      </c>
      <c r="D610">
        <v>6</v>
      </c>
      <c r="E610">
        <v>2</v>
      </c>
      <c r="F610">
        <v>4</v>
      </c>
      <c r="G610" s="19">
        <v>3161</v>
      </c>
      <c r="H610" s="19">
        <v>2443</v>
      </c>
      <c r="I610" s="19">
        <v>718</v>
      </c>
      <c r="J610" s="19">
        <v>235</v>
      </c>
      <c r="K610" s="19">
        <v>94</v>
      </c>
      <c r="L610" s="19">
        <v>806</v>
      </c>
      <c r="M610" s="19">
        <v>70</v>
      </c>
      <c r="N610" s="19">
        <v>49</v>
      </c>
      <c r="O610" s="19">
        <f t="shared" si="18"/>
        <v>1254</v>
      </c>
      <c r="P610" s="19">
        <f t="shared" si="19"/>
        <v>1907</v>
      </c>
      <c r="Q610" t="s">
        <v>23</v>
      </c>
      <c r="R610" t="s">
        <v>65</v>
      </c>
      <c r="T610">
        <v>1</v>
      </c>
      <c r="U610" s="19">
        <v>1580</v>
      </c>
      <c r="V610">
        <v>0</v>
      </c>
      <c r="W610" s="19">
        <v>0</v>
      </c>
      <c r="X610">
        <v>0</v>
      </c>
      <c r="Y610" s="19">
        <v>0</v>
      </c>
      <c r="Z610">
        <v>0</v>
      </c>
      <c r="AA610" s="19">
        <v>0</v>
      </c>
      <c r="AB610">
        <v>1</v>
      </c>
      <c r="AC610" s="19">
        <v>862</v>
      </c>
      <c r="AD610">
        <v>0</v>
      </c>
      <c r="AE610" s="19">
        <v>0</v>
      </c>
      <c r="AF610">
        <v>0</v>
      </c>
      <c r="AG610" s="19">
        <v>0</v>
      </c>
      <c r="AH610">
        <v>1</v>
      </c>
      <c r="AI610" s="19">
        <v>201</v>
      </c>
      <c r="AJ610">
        <v>1</v>
      </c>
      <c r="AK610" s="19">
        <v>101</v>
      </c>
      <c r="AL610">
        <v>1</v>
      </c>
      <c r="AM610" s="19">
        <v>201</v>
      </c>
      <c r="AN610">
        <v>1</v>
      </c>
      <c r="AO610" s="19">
        <v>216</v>
      </c>
      <c r="AP610">
        <v>0</v>
      </c>
      <c r="AQ610" s="19">
        <v>0</v>
      </c>
    </row>
    <row r="611" spans="1:43" x14ac:dyDescent="0.35">
      <c r="A611" s="18">
        <v>45899</v>
      </c>
      <c r="B611" t="s">
        <v>60</v>
      </c>
      <c r="C611" t="s">
        <v>61</v>
      </c>
      <c r="D611">
        <v>7</v>
      </c>
      <c r="E611">
        <v>2</v>
      </c>
      <c r="F611">
        <v>5</v>
      </c>
      <c r="G611" s="19">
        <v>3905</v>
      </c>
      <c r="H611" s="19">
        <v>2710</v>
      </c>
      <c r="I611" s="19">
        <v>1195</v>
      </c>
      <c r="J611" s="19">
        <v>235</v>
      </c>
      <c r="K611" s="19">
        <v>94</v>
      </c>
      <c r="L611" s="19">
        <v>806</v>
      </c>
      <c r="M611" s="19">
        <v>86</v>
      </c>
      <c r="N611" s="19">
        <v>57</v>
      </c>
      <c r="O611" s="19">
        <f t="shared" si="18"/>
        <v>1278</v>
      </c>
      <c r="P611" s="19">
        <f t="shared" si="19"/>
        <v>2627</v>
      </c>
      <c r="Q611" t="s">
        <v>23</v>
      </c>
      <c r="R611" t="s">
        <v>65</v>
      </c>
      <c r="T611">
        <v>1</v>
      </c>
      <c r="U611" s="19">
        <v>1753</v>
      </c>
      <c r="V611">
        <v>0</v>
      </c>
      <c r="W611" s="19">
        <v>0</v>
      </c>
      <c r="X611">
        <v>0</v>
      </c>
      <c r="Y611" s="19">
        <v>0</v>
      </c>
      <c r="Z611">
        <v>0</v>
      </c>
      <c r="AA611" s="19">
        <v>0</v>
      </c>
      <c r="AB611">
        <v>1</v>
      </c>
      <c r="AC611" s="19">
        <v>956</v>
      </c>
      <c r="AD611">
        <v>0</v>
      </c>
      <c r="AE611" s="19">
        <v>0</v>
      </c>
      <c r="AF611">
        <v>0</v>
      </c>
      <c r="AG611" s="19">
        <v>0</v>
      </c>
      <c r="AH611">
        <v>1</v>
      </c>
      <c r="AI611" s="19">
        <v>223</v>
      </c>
      <c r="AJ611">
        <v>1</v>
      </c>
      <c r="AK611" s="19">
        <v>112</v>
      </c>
      <c r="AL611">
        <v>1</v>
      </c>
      <c r="AM611" s="19">
        <v>223</v>
      </c>
      <c r="AN611">
        <v>1</v>
      </c>
      <c r="AO611" s="19">
        <v>239</v>
      </c>
      <c r="AP611">
        <v>1</v>
      </c>
      <c r="AQ611" s="19">
        <v>398</v>
      </c>
    </row>
    <row r="612" spans="1:43" x14ac:dyDescent="0.35">
      <c r="A612" s="18">
        <v>45900</v>
      </c>
      <c r="B612" t="s">
        <v>62</v>
      </c>
      <c r="C612" t="s">
        <v>61</v>
      </c>
      <c r="D612">
        <v>8</v>
      </c>
      <c r="E612">
        <v>3</v>
      </c>
      <c r="F612">
        <v>5</v>
      </c>
      <c r="G612" s="19">
        <v>3993</v>
      </c>
      <c r="H612" s="19">
        <v>2837</v>
      </c>
      <c r="I612" s="19">
        <v>1156</v>
      </c>
      <c r="J612" s="19">
        <v>235</v>
      </c>
      <c r="K612" s="19">
        <v>94</v>
      </c>
      <c r="L612" s="19">
        <v>806</v>
      </c>
      <c r="M612" s="19">
        <v>88</v>
      </c>
      <c r="N612" s="19">
        <v>65</v>
      </c>
      <c r="O612" s="19">
        <f t="shared" si="18"/>
        <v>1288</v>
      </c>
      <c r="P612" s="19">
        <f t="shared" si="19"/>
        <v>2705</v>
      </c>
      <c r="Q612" t="s">
        <v>23</v>
      </c>
      <c r="R612" t="s">
        <v>65</v>
      </c>
      <c r="T612">
        <v>1</v>
      </c>
      <c r="U612" s="19">
        <v>1696</v>
      </c>
      <c r="V612">
        <v>0</v>
      </c>
      <c r="W612" s="19">
        <v>0</v>
      </c>
      <c r="X612">
        <v>0</v>
      </c>
      <c r="Y612" s="19">
        <v>0</v>
      </c>
      <c r="Z612">
        <v>0</v>
      </c>
      <c r="AA612" s="19">
        <v>0</v>
      </c>
      <c r="AB612">
        <v>1</v>
      </c>
      <c r="AC612" s="19">
        <v>925</v>
      </c>
      <c r="AD612">
        <v>0</v>
      </c>
      <c r="AE612" s="19">
        <v>0</v>
      </c>
      <c r="AF612">
        <v>0</v>
      </c>
      <c r="AG612" s="19">
        <v>0</v>
      </c>
      <c r="AH612">
        <v>2</v>
      </c>
      <c r="AI612" s="19">
        <v>432</v>
      </c>
      <c r="AJ612">
        <v>1</v>
      </c>
      <c r="AK612" s="19">
        <v>108</v>
      </c>
      <c r="AL612">
        <v>1</v>
      </c>
      <c r="AM612" s="19">
        <v>216</v>
      </c>
      <c r="AN612">
        <v>1</v>
      </c>
      <c r="AO612" s="19">
        <v>231</v>
      </c>
      <c r="AP612">
        <v>1</v>
      </c>
      <c r="AQ612" s="19">
        <v>385</v>
      </c>
    </row>
    <row r="613" spans="1:43" x14ac:dyDescent="0.35">
      <c r="A613" s="18">
        <v>45901</v>
      </c>
      <c r="B613" t="s">
        <v>52</v>
      </c>
      <c r="C613" t="s">
        <v>53</v>
      </c>
      <c r="D613">
        <v>6</v>
      </c>
      <c r="E613">
        <v>2</v>
      </c>
      <c r="F613">
        <v>4</v>
      </c>
      <c r="G613" s="19">
        <v>3213</v>
      </c>
      <c r="H613" s="19">
        <v>2483</v>
      </c>
      <c r="I613" s="19">
        <v>730</v>
      </c>
      <c r="J613" s="19">
        <v>243</v>
      </c>
      <c r="K613" s="19">
        <v>97</v>
      </c>
      <c r="L613" s="19">
        <v>833</v>
      </c>
      <c r="M613" s="19">
        <v>71</v>
      </c>
      <c r="N613" s="19">
        <v>49</v>
      </c>
      <c r="O613" s="19">
        <f t="shared" si="18"/>
        <v>1293</v>
      </c>
      <c r="P613" s="19">
        <f t="shared" si="19"/>
        <v>1920</v>
      </c>
      <c r="Q613" t="s">
        <v>23</v>
      </c>
      <c r="R613" t="s">
        <v>65</v>
      </c>
      <c r="T613">
        <v>1</v>
      </c>
      <c r="U613" s="19">
        <v>1606</v>
      </c>
      <c r="V613">
        <v>0</v>
      </c>
      <c r="W613" s="19">
        <v>0</v>
      </c>
      <c r="X613">
        <v>0</v>
      </c>
      <c r="Y613" s="19">
        <v>0</v>
      </c>
      <c r="Z613">
        <v>0</v>
      </c>
      <c r="AA613" s="19">
        <v>0</v>
      </c>
      <c r="AB613">
        <v>1</v>
      </c>
      <c r="AC613" s="19">
        <v>876</v>
      </c>
      <c r="AD613">
        <v>0</v>
      </c>
      <c r="AE613" s="19">
        <v>0</v>
      </c>
      <c r="AF613">
        <v>0</v>
      </c>
      <c r="AG613" s="19">
        <v>0</v>
      </c>
      <c r="AH613">
        <v>1</v>
      </c>
      <c r="AI613" s="19">
        <v>204</v>
      </c>
      <c r="AJ613">
        <v>1</v>
      </c>
      <c r="AK613" s="19">
        <v>102</v>
      </c>
      <c r="AL613">
        <v>1</v>
      </c>
      <c r="AM613" s="19">
        <v>204</v>
      </c>
      <c r="AN613">
        <v>1</v>
      </c>
      <c r="AO613" s="19">
        <v>219</v>
      </c>
      <c r="AP613">
        <v>0</v>
      </c>
      <c r="AQ613" s="19">
        <v>0</v>
      </c>
    </row>
    <row r="614" spans="1:43" x14ac:dyDescent="0.35">
      <c r="A614" s="18">
        <v>45902</v>
      </c>
      <c r="B614" t="s">
        <v>56</v>
      </c>
      <c r="C614" t="s">
        <v>53</v>
      </c>
      <c r="D614">
        <v>6</v>
      </c>
      <c r="E614">
        <v>1</v>
      </c>
      <c r="F614">
        <v>5</v>
      </c>
      <c r="G614" s="19">
        <v>3276</v>
      </c>
      <c r="H614" s="19">
        <v>1456</v>
      </c>
      <c r="I614" s="19">
        <v>1820</v>
      </c>
      <c r="J614" s="19">
        <v>243</v>
      </c>
      <c r="K614" s="19">
        <v>97</v>
      </c>
      <c r="L614" s="19">
        <v>833</v>
      </c>
      <c r="M614" s="19">
        <v>72</v>
      </c>
      <c r="N614" s="19">
        <v>49</v>
      </c>
      <c r="O614" s="19">
        <f t="shared" si="18"/>
        <v>1294</v>
      </c>
      <c r="P614" s="19">
        <f t="shared" si="19"/>
        <v>1982</v>
      </c>
      <c r="Q614" t="s">
        <v>27</v>
      </c>
      <c r="R614" t="s">
        <v>65</v>
      </c>
      <c r="T614">
        <v>0</v>
      </c>
      <c r="U614" s="19">
        <v>0</v>
      </c>
      <c r="V614">
        <v>0</v>
      </c>
      <c r="W614" s="19">
        <v>0</v>
      </c>
      <c r="X614">
        <v>0</v>
      </c>
      <c r="Y614" s="19">
        <v>0</v>
      </c>
      <c r="Z614">
        <v>0</v>
      </c>
      <c r="AA614" s="19">
        <v>0</v>
      </c>
      <c r="AB614">
        <v>1</v>
      </c>
      <c r="AC614" s="19">
        <v>1456</v>
      </c>
      <c r="AD614">
        <v>0</v>
      </c>
      <c r="AE614" s="19">
        <v>0</v>
      </c>
      <c r="AF614">
        <v>0</v>
      </c>
      <c r="AG614" s="19">
        <v>0</v>
      </c>
      <c r="AH614">
        <v>1</v>
      </c>
      <c r="AI614" s="19">
        <v>340</v>
      </c>
      <c r="AJ614">
        <v>1</v>
      </c>
      <c r="AK614" s="19">
        <v>170</v>
      </c>
      <c r="AL614">
        <v>1</v>
      </c>
      <c r="AM614" s="19">
        <v>340</v>
      </c>
      <c r="AN614">
        <v>1</v>
      </c>
      <c r="AO614" s="19">
        <v>364</v>
      </c>
      <c r="AP614">
        <v>1</v>
      </c>
      <c r="AQ614" s="19">
        <v>607</v>
      </c>
    </row>
    <row r="615" spans="1:43" x14ac:dyDescent="0.35">
      <c r="A615" s="18">
        <v>45903</v>
      </c>
      <c r="B615" t="s">
        <v>57</v>
      </c>
      <c r="C615" t="s">
        <v>53</v>
      </c>
      <c r="D615">
        <v>6</v>
      </c>
      <c r="E615">
        <v>2</v>
      </c>
      <c r="F615">
        <v>4</v>
      </c>
      <c r="G615" s="19">
        <v>3099</v>
      </c>
      <c r="H615" s="19">
        <v>2395</v>
      </c>
      <c r="I615" s="19">
        <v>704</v>
      </c>
      <c r="J615" s="19">
        <v>243</v>
      </c>
      <c r="K615" s="19">
        <v>97</v>
      </c>
      <c r="L615" s="19">
        <v>833</v>
      </c>
      <c r="M615" s="19">
        <v>68</v>
      </c>
      <c r="N615" s="19">
        <v>49</v>
      </c>
      <c r="O615" s="19">
        <f t="shared" si="18"/>
        <v>1290</v>
      </c>
      <c r="P615" s="19">
        <f t="shared" si="19"/>
        <v>1809</v>
      </c>
      <c r="Q615" t="s">
        <v>23</v>
      </c>
      <c r="R615" t="s">
        <v>65</v>
      </c>
      <c r="T615">
        <v>1</v>
      </c>
      <c r="U615" s="19">
        <v>1550</v>
      </c>
      <c r="V615">
        <v>0</v>
      </c>
      <c r="W615" s="19">
        <v>0</v>
      </c>
      <c r="X615">
        <v>0</v>
      </c>
      <c r="Y615" s="19">
        <v>0</v>
      </c>
      <c r="Z615">
        <v>0</v>
      </c>
      <c r="AA615" s="19">
        <v>0</v>
      </c>
      <c r="AB615">
        <v>1</v>
      </c>
      <c r="AC615" s="19">
        <v>845</v>
      </c>
      <c r="AD615">
        <v>0</v>
      </c>
      <c r="AE615" s="19">
        <v>0</v>
      </c>
      <c r="AF615">
        <v>0</v>
      </c>
      <c r="AG615" s="19">
        <v>0</v>
      </c>
      <c r="AH615">
        <v>1</v>
      </c>
      <c r="AI615" s="19">
        <v>197</v>
      </c>
      <c r="AJ615">
        <v>1</v>
      </c>
      <c r="AK615" s="19">
        <v>99</v>
      </c>
      <c r="AL615">
        <v>1</v>
      </c>
      <c r="AM615" s="19">
        <v>197</v>
      </c>
      <c r="AN615">
        <v>1</v>
      </c>
      <c r="AO615" s="19">
        <v>211</v>
      </c>
      <c r="AP615">
        <v>0</v>
      </c>
      <c r="AQ615" s="19">
        <v>0</v>
      </c>
    </row>
    <row r="616" spans="1:43" x14ac:dyDescent="0.35">
      <c r="A616" s="18">
        <v>45904</v>
      </c>
      <c r="B616" t="s">
        <v>58</v>
      </c>
      <c r="C616" t="s">
        <v>53</v>
      </c>
      <c r="D616">
        <v>6</v>
      </c>
      <c r="E616">
        <v>2</v>
      </c>
      <c r="F616">
        <v>4</v>
      </c>
      <c r="G616" s="19">
        <v>3490</v>
      </c>
      <c r="H616" s="19">
        <v>2697</v>
      </c>
      <c r="I616" s="19">
        <v>793</v>
      </c>
      <c r="J616" s="19">
        <v>243</v>
      </c>
      <c r="K616" s="19">
        <v>97</v>
      </c>
      <c r="L616" s="19">
        <v>833</v>
      </c>
      <c r="M616" s="19">
        <v>77</v>
      </c>
      <c r="N616" s="19">
        <v>49</v>
      </c>
      <c r="O616" s="19">
        <f t="shared" si="18"/>
        <v>1299</v>
      </c>
      <c r="P616" s="19">
        <f t="shared" si="19"/>
        <v>2191</v>
      </c>
      <c r="Q616" t="s">
        <v>23</v>
      </c>
      <c r="R616" t="s">
        <v>65</v>
      </c>
      <c r="T616">
        <v>1</v>
      </c>
      <c r="U616" s="19">
        <v>1745</v>
      </c>
      <c r="V616">
        <v>0</v>
      </c>
      <c r="W616" s="19">
        <v>0</v>
      </c>
      <c r="X616">
        <v>0</v>
      </c>
      <c r="Y616" s="19">
        <v>0</v>
      </c>
      <c r="Z616">
        <v>0</v>
      </c>
      <c r="AA616" s="19">
        <v>0</v>
      </c>
      <c r="AB616">
        <v>1</v>
      </c>
      <c r="AC616" s="19">
        <v>952</v>
      </c>
      <c r="AD616">
        <v>0</v>
      </c>
      <c r="AE616" s="19">
        <v>0</v>
      </c>
      <c r="AF616">
        <v>0</v>
      </c>
      <c r="AG616" s="19">
        <v>0</v>
      </c>
      <c r="AH616">
        <v>1</v>
      </c>
      <c r="AI616" s="19">
        <v>222</v>
      </c>
      <c r="AJ616">
        <v>1</v>
      </c>
      <c r="AK616" s="19">
        <v>111</v>
      </c>
      <c r="AL616">
        <v>1</v>
      </c>
      <c r="AM616" s="19">
        <v>222</v>
      </c>
      <c r="AN616">
        <v>1</v>
      </c>
      <c r="AO616" s="19">
        <v>238</v>
      </c>
      <c r="AP616">
        <v>0</v>
      </c>
      <c r="AQ616" s="19">
        <v>0</v>
      </c>
    </row>
    <row r="617" spans="1:43" x14ac:dyDescent="0.35">
      <c r="A617" s="18">
        <v>45905</v>
      </c>
      <c r="B617" t="s">
        <v>59</v>
      </c>
      <c r="C617" t="s">
        <v>53</v>
      </c>
      <c r="D617">
        <v>7</v>
      </c>
      <c r="E617">
        <v>2</v>
      </c>
      <c r="F617">
        <v>5</v>
      </c>
      <c r="G617" s="19">
        <v>3527</v>
      </c>
      <c r="H617" s="19">
        <v>2447</v>
      </c>
      <c r="I617" s="19">
        <v>1080</v>
      </c>
      <c r="J617" s="19">
        <v>243</v>
      </c>
      <c r="K617" s="19">
        <v>97</v>
      </c>
      <c r="L617" s="19">
        <v>833</v>
      </c>
      <c r="M617" s="19">
        <v>78</v>
      </c>
      <c r="N617" s="19">
        <v>57</v>
      </c>
      <c r="O617" s="19">
        <f t="shared" si="18"/>
        <v>1308</v>
      </c>
      <c r="P617" s="19">
        <f t="shared" si="19"/>
        <v>2219</v>
      </c>
      <c r="Q617" t="s">
        <v>23</v>
      </c>
      <c r="R617" t="s">
        <v>65</v>
      </c>
      <c r="T617">
        <v>1</v>
      </c>
      <c r="U617" s="19">
        <v>1584</v>
      </c>
      <c r="V617">
        <v>0</v>
      </c>
      <c r="W617" s="19">
        <v>0</v>
      </c>
      <c r="X617">
        <v>0</v>
      </c>
      <c r="Y617" s="19">
        <v>0</v>
      </c>
      <c r="Z617">
        <v>0</v>
      </c>
      <c r="AA617" s="19">
        <v>0</v>
      </c>
      <c r="AB617">
        <v>1</v>
      </c>
      <c r="AC617" s="19">
        <v>864</v>
      </c>
      <c r="AD617">
        <v>0</v>
      </c>
      <c r="AE617" s="19">
        <v>0</v>
      </c>
      <c r="AF617">
        <v>0</v>
      </c>
      <c r="AG617" s="19">
        <v>0</v>
      </c>
      <c r="AH617">
        <v>1</v>
      </c>
      <c r="AI617" s="19">
        <v>202</v>
      </c>
      <c r="AJ617">
        <v>1</v>
      </c>
      <c r="AK617" s="19">
        <v>101</v>
      </c>
      <c r="AL617">
        <v>1</v>
      </c>
      <c r="AM617" s="19">
        <v>202</v>
      </c>
      <c r="AN617">
        <v>1</v>
      </c>
      <c r="AO617" s="19">
        <v>216</v>
      </c>
      <c r="AP617">
        <v>1</v>
      </c>
      <c r="AQ617" s="19">
        <v>360</v>
      </c>
    </row>
    <row r="618" spans="1:43" x14ac:dyDescent="0.35">
      <c r="A618" s="18">
        <v>45906</v>
      </c>
      <c r="B618" t="s">
        <v>60</v>
      </c>
      <c r="C618" t="s">
        <v>61</v>
      </c>
      <c r="D618">
        <v>9</v>
      </c>
      <c r="E618">
        <v>3</v>
      </c>
      <c r="F618">
        <v>6</v>
      </c>
      <c r="G618" s="19">
        <v>4549</v>
      </c>
      <c r="H618" s="19">
        <v>2332</v>
      </c>
      <c r="I618" s="19">
        <v>2217</v>
      </c>
      <c r="J618" s="19">
        <v>243</v>
      </c>
      <c r="K618" s="19">
        <v>97</v>
      </c>
      <c r="L618" s="19">
        <v>833</v>
      </c>
      <c r="M618" s="19">
        <v>100</v>
      </c>
      <c r="N618" s="19">
        <v>73</v>
      </c>
      <c r="O618" s="19">
        <f t="shared" si="18"/>
        <v>1346</v>
      </c>
      <c r="P618" s="19">
        <f t="shared" si="19"/>
        <v>3203</v>
      </c>
      <c r="Q618" t="s">
        <v>23</v>
      </c>
      <c r="R618" t="s">
        <v>65</v>
      </c>
      <c r="T618">
        <v>1</v>
      </c>
      <c r="U618" s="19">
        <v>1394</v>
      </c>
      <c r="V618">
        <v>0</v>
      </c>
      <c r="W618" s="19">
        <v>0</v>
      </c>
      <c r="X618">
        <v>0</v>
      </c>
      <c r="Y618" s="19">
        <v>0</v>
      </c>
      <c r="Z618">
        <v>0</v>
      </c>
      <c r="AA618" s="19">
        <v>0</v>
      </c>
      <c r="AB618">
        <v>1</v>
      </c>
      <c r="AC618" s="19">
        <v>760</v>
      </c>
      <c r="AD618">
        <v>1</v>
      </c>
      <c r="AE618" s="19">
        <v>1267</v>
      </c>
      <c r="AF618">
        <v>0</v>
      </c>
      <c r="AG618" s="19">
        <v>0</v>
      </c>
      <c r="AH618">
        <v>2</v>
      </c>
      <c r="AI618" s="19">
        <v>355</v>
      </c>
      <c r="AJ618">
        <v>1</v>
      </c>
      <c r="AK618" s="19">
        <v>89</v>
      </c>
      <c r="AL618">
        <v>1</v>
      </c>
      <c r="AM618" s="19">
        <v>177</v>
      </c>
      <c r="AN618">
        <v>1</v>
      </c>
      <c r="AO618" s="19">
        <v>190</v>
      </c>
      <c r="AP618">
        <v>1</v>
      </c>
      <c r="AQ618" s="19">
        <v>317</v>
      </c>
    </row>
    <row r="619" spans="1:43" x14ac:dyDescent="0.35">
      <c r="A619" s="18">
        <v>45907</v>
      </c>
      <c r="B619" t="s">
        <v>62</v>
      </c>
      <c r="C619" t="s">
        <v>61</v>
      </c>
      <c r="D619">
        <v>8</v>
      </c>
      <c r="E619">
        <v>3</v>
      </c>
      <c r="F619">
        <v>5</v>
      </c>
      <c r="G619" s="19">
        <v>4261</v>
      </c>
      <c r="H619" s="19">
        <v>3278</v>
      </c>
      <c r="I619" s="19">
        <v>983</v>
      </c>
      <c r="J619" s="19">
        <v>243</v>
      </c>
      <c r="K619" s="19">
        <v>97</v>
      </c>
      <c r="L619" s="19">
        <v>833</v>
      </c>
      <c r="M619" s="19">
        <v>94</v>
      </c>
      <c r="N619" s="19">
        <v>65</v>
      </c>
      <c r="O619" s="19">
        <f t="shared" si="18"/>
        <v>1332</v>
      </c>
      <c r="P619" s="19">
        <f t="shared" si="19"/>
        <v>2929</v>
      </c>
      <c r="Q619" t="s">
        <v>23</v>
      </c>
      <c r="R619" t="s">
        <v>65</v>
      </c>
      <c r="T619">
        <v>1</v>
      </c>
      <c r="U619" s="19">
        <v>1442</v>
      </c>
      <c r="V619">
        <v>0</v>
      </c>
      <c r="W619" s="19">
        <v>0</v>
      </c>
      <c r="X619">
        <v>0</v>
      </c>
      <c r="Y619" s="19">
        <v>0</v>
      </c>
      <c r="Z619">
        <v>1</v>
      </c>
      <c r="AA619" s="19">
        <v>1049</v>
      </c>
      <c r="AB619">
        <v>1</v>
      </c>
      <c r="AC619" s="19">
        <v>787</v>
      </c>
      <c r="AD619">
        <v>0</v>
      </c>
      <c r="AE619" s="19">
        <v>0</v>
      </c>
      <c r="AF619">
        <v>0</v>
      </c>
      <c r="AG619" s="19">
        <v>0</v>
      </c>
      <c r="AH619">
        <v>1</v>
      </c>
      <c r="AI619" s="19">
        <v>184</v>
      </c>
      <c r="AJ619">
        <v>1</v>
      </c>
      <c r="AK619" s="19">
        <v>92</v>
      </c>
      <c r="AL619">
        <v>1</v>
      </c>
      <c r="AM619" s="19">
        <v>184</v>
      </c>
      <c r="AN619">
        <v>1</v>
      </c>
      <c r="AO619" s="19">
        <v>197</v>
      </c>
      <c r="AP619">
        <v>1</v>
      </c>
      <c r="AQ619" s="19">
        <v>328</v>
      </c>
    </row>
    <row r="620" spans="1:43" x14ac:dyDescent="0.35">
      <c r="A620" s="18">
        <v>45908</v>
      </c>
      <c r="B620" t="s">
        <v>52</v>
      </c>
      <c r="C620" t="s">
        <v>53</v>
      </c>
      <c r="D620">
        <v>6</v>
      </c>
      <c r="E620">
        <v>1</v>
      </c>
      <c r="F620">
        <v>5</v>
      </c>
      <c r="G620" s="19">
        <v>3111</v>
      </c>
      <c r="H620" s="19">
        <v>1383</v>
      </c>
      <c r="I620" s="19">
        <v>1728</v>
      </c>
      <c r="J620" s="19">
        <v>243</v>
      </c>
      <c r="K620" s="19">
        <v>97</v>
      </c>
      <c r="L620" s="19">
        <v>833</v>
      </c>
      <c r="M620" s="19">
        <v>69</v>
      </c>
      <c r="N620" s="19">
        <v>49</v>
      </c>
      <c r="O620" s="19">
        <f t="shared" si="18"/>
        <v>1291</v>
      </c>
      <c r="P620" s="19">
        <f t="shared" si="19"/>
        <v>1820</v>
      </c>
      <c r="Q620" t="s">
        <v>27</v>
      </c>
      <c r="R620" t="s">
        <v>65</v>
      </c>
      <c r="T620">
        <v>0</v>
      </c>
      <c r="U620" s="19">
        <v>0</v>
      </c>
      <c r="V620">
        <v>0</v>
      </c>
      <c r="W620" s="19">
        <v>0</v>
      </c>
      <c r="X620">
        <v>0</v>
      </c>
      <c r="Y620" s="19">
        <v>0</v>
      </c>
      <c r="Z620">
        <v>0</v>
      </c>
      <c r="AA620" s="19">
        <v>0</v>
      </c>
      <c r="AB620">
        <v>1</v>
      </c>
      <c r="AC620" s="19">
        <v>1383</v>
      </c>
      <c r="AD620">
        <v>0</v>
      </c>
      <c r="AE620" s="19">
        <v>0</v>
      </c>
      <c r="AF620">
        <v>0</v>
      </c>
      <c r="AG620" s="19">
        <v>0</v>
      </c>
      <c r="AH620">
        <v>1</v>
      </c>
      <c r="AI620" s="19">
        <v>323</v>
      </c>
      <c r="AJ620">
        <v>1</v>
      </c>
      <c r="AK620" s="19">
        <v>161</v>
      </c>
      <c r="AL620">
        <v>1</v>
      </c>
      <c r="AM620" s="19">
        <v>323</v>
      </c>
      <c r="AN620">
        <v>1</v>
      </c>
      <c r="AO620" s="19">
        <v>346</v>
      </c>
      <c r="AP620">
        <v>1</v>
      </c>
      <c r="AQ620" s="19">
        <v>576</v>
      </c>
    </row>
    <row r="621" spans="1:43" x14ac:dyDescent="0.35">
      <c r="A621" s="18">
        <v>45909</v>
      </c>
      <c r="B621" t="s">
        <v>56</v>
      </c>
      <c r="C621" t="s">
        <v>53</v>
      </c>
      <c r="D621">
        <v>6</v>
      </c>
      <c r="E621">
        <v>1</v>
      </c>
      <c r="F621">
        <v>5</v>
      </c>
      <c r="G621" s="19">
        <v>3243</v>
      </c>
      <c r="H621" s="19">
        <v>1441</v>
      </c>
      <c r="I621" s="19">
        <v>1802</v>
      </c>
      <c r="J621" s="19">
        <v>243</v>
      </c>
      <c r="K621" s="19">
        <v>97</v>
      </c>
      <c r="L621" s="19">
        <v>833</v>
      </c>
      <c r="M621" s="19">
        <v>72</v>
      </c>
      <c r="N621" s="19">
        <v>49</v>
      </c>
      <c r="O621" s="19">
        <f t="shared" si="18"/>
        <v>1294</v>
      </c>
      <c r="P621" s="19">
        <f t="shared" si="19"/>
        <v>1949</v>
      </c>
      <c r="Q621" t="s">
        <v>27</v>
      </c>
      <c r="R621" t="s">
        <v>65</v>
      </c>
      <c r="T621">
        <v>0</v>
      </c>
      <c r="U621" s="19">
        <v>0</v>
      </c>
      <c r="V621">
        <v>0</v>
      </c>
      <c r="W621" s="19">
        <v>0</v>
      </c>
      <c r="X621">
        <v>0</v>
      </c>
      <c r="Y621" s="19">
        <v>0</v>
      </c>
      <c r="Z621">
        <v>0</v>
      </c>
      <c r="AA621" s="19">
        <v>0</v>
      </c>
      <c r="AB621">
        <v>1</v>
      </c>
      <c r="AC621" s="19">
        <v>1441</v>
      </c>
      <c r="AD621">
        <v>0</v>
      </c>
      <c r="AE621" s="19">
        <v>0</v>
      </c>
      <c r="AF621">
        <v>0</v>
      </c>
      <c r="AG621" s="19">
        <v>0</v>
      </c>
      <c r="AH621">
        <v>1</v>
      </c>
      <c r="AI621" s="19">
        <v>336</v>
      </c>
      <c r="AJ621">
        <v>1</v>
      </c>
      <c r="AK621" s="19">
        <v>168</v>
      </c>
      <c r="AL621">
        <v>1</v>
      </c>
      <c r="AM621" s="19">
        <v>336</v>
      </c>
      <c r="AN621">
        <v>1</v>
      </c>
      <c r="AO621" s="19">
        <v>360</v>
      </c>
      <c r="AP621">
        <v>1</v>
      </c>
      <c r="AQ621" s="19">
        <v>601</v>
      </c>
    </row>
    <row r="622" spans="1:43" x14ac:dyDescent="0.35">
      <c r="A622" s="18">
        <v>45910</v>
      </c>
      <c r="B622" t="s">
        <v>57</v>
      </c>
      <c r="C622" t="s">
        <v>53</v>
      </c>
      <c r="D622">
        <v>6</v>
      </c>
      <c r="E622">
        <v>2</v>
      </c>
      <c r="F622">
        <v>4</v>
      </c>
      <c r="G622" s="19">
        <v>3453</v>
      </c>
      <c r="H622" s="19">
        <v>2668</v>
      </c>
      <c r="I622" s="19">
        <v>785</v>
      </c>
      <c r="J622" s="19">
        <v>243</v>
      </c>
      <c r="K622" s="19">
        <v>97</v>
      </c>
      <c r="L622" s="19">
        <v>833</v>
      </c>
      <c r="M622" s="19">
        <v>76</v>
      </c>
      <c r="N622" s="19">
        <v>49</v>
      </c>
      <c r="O622" s="19">
        <f t="shared" si="18"/>
        <v>1298</v>
      </c>
      <c r="P622" s="19">
        <f t="shared" si="19"/>
        <v>2155</v>
      </c>
      <c r="Q622" t="s">
        <v>23</v>
      </c>
      <c r="R622" t="s">
        <v>65</v>
      </c>
      <c r="T622">
        <v>1</v>
      </c>
      <c r="U622" s="19">
        <v>1726</v>
      </c>
      <c r="V622">
        <v>0</v>
      </c>
      <c r="W622" s="19">
        <v>0</v>
      </c>
      <c r="X622">
        <v>0</v>
      </c>
      <c r="Y622" s="19">
        <v>0</v>
      </c>
      <c r="Z622">
        <v>0</v>
      </c>
      <c r="AA622" s="19">
        <v>0</v>
      </c>
      <c r="AB622">
        <v>1</v>
      </c>
      <c r="AC622" s="19">
        <v>942</v>
      </c>
      <c r="AD622">
        <v>0</v>
      </c>
      <c r="AE622" s="19">
        <v>0</v>
      </c>
      <c r="AF622">
        <v>0</v>
      </c>
      <c r="AG622" s="19">
        <v>0</v>
      </c>
      <c r="AH622">
        <v>1</v>
      </c>
      <c r="AI622" s="19">
        <v>220</v>
      </c>
      <c r="AJ622">
        <v>1</v>
      </c>
      <c r="AK622" s="19">
        <v>110</v>
      </c>
      <c r="AL622">
        <v>1</v>
      </c>
      <c r="AM622" s="19">
        <v>220</v>
      </c>
      <c r="AN622">
        <v>1</v>
      </c>
      <c r="AO622" s="19">
        <v>235</v>
      </c>
      <c r="AP622">
        <v>0</v>
      </c>
      <c r="AQ622" s="19">
        <v>0</v>
      </c>
    </row>
    <row r="623" spans="1:43" x14ac:dyDescent="0.35">
      <c r="A623" s="18">
        <v>45911</v>
      </c>
      <c r="B623" t="s">
        <v>58</v>
      </c>
      <c r="C623" t="s">
        <v>53</v>
      </c>
      <c r="D623">
        <v>6</v>
      </c>
      <c r="E623">
        <v>2</v>
      </c>
      <c r="F623">
        <v>4</v>
      </c>
      <c r="G623" s="19">
        <v>3375</v>
      </c>
      <c r="H623" s="19">
        <v>2608</v>
      </c>
      <c r="I623" s="19">
        <v>767</v>
      </c>
      <c r="J623" s="19">
        <v>243</v>
      </c>
      <c r="K623" s="19">
        <v>97</v>
      </c>
      <c r="L623" s="19">
        <v>833</v>
      </c>
      <c r="M623" s="19">
        <v>74</v>
      </c>
      <c r="N623" s="19">
        <v>49</v>
      </c>
      <c r="O623" s="19">
        <f t="shared" si="18"/>
        <v>1296</v>
      </c>
      <c r="P623" s="19">
        <f t="shared" si="19"/>
        <v>2079</v>
      </c>
      <c r="Q623" t="s">
        <v>23</v>
      </c>
      <c r="R623" t="s">
        <v>65</v>
      </c>
      <c r="T623">
        <v>1</v>
      </c>
      <c r="U623" s="19">
        <v>1688</v>
      </c>
      <c r="V623">
        <v>0</v>
      </c>
      <c r="W623" s="19">
        <v>0</v>
      </c>
      <c r="X623">
        <v>0</v>
      </c>
      <c r="Y623" s="19">
        <v>0</v>
      </c>
      <c r="Z623">
        <v>0</v>
      </c>
      <c r="AA623" s="19">
        <v>0</v>
      </c>
      <c r="AB623">
        <v>1</v>
      </c>
      <c r="AC623" s="19">
        <v>920</v>
      </c>
      <c r="AD623">
        <v>0</v>
      </c>
      <c r="AE623" s="19">
        <v>0</v>
      </c>
      <c r="AF623">
        <v>0</v>
      </c>
      <c r="AG623" s="19">
        <v>0</v>
      </c>
      <c r="AH623">
        <v>1</v>
      </c>
      <c r="AI623" s="19">
        <v>215</v>
      </c>
      <c r="AJ623">
        <v>1</v>
      </c>
      <c r="AK623" s="19">
        <v>107</v>
      </c>
      <c r="AL623">
        <v>1</v>
      </c>
      <c r="AM623" s="19">
        <v>215</v>
      </c>
      <c r="AN623">
        <v>1</v>
      </c>
      <c r="AO623" s="19">
        <v>230</v>
      </c>
      <c r="AP623">
        <v>0</v>
      </c>
      <c r="AQ623" s="19">
        <v>0</v>
      </c>
    </row>
    <row r="624" spans="1:43" x14ac:dyDescent="0.35">
      <c r="A624" s="18">
        <v>45912</v>
      </c>
      <c r="B624" t="s">
        <v>59</v>
      </c>
      <c r="C624" t="s">
        <v>53</v>
      </c>
      <c r="D624">
        <v>6</v>
      </c>
      <c r="E624">
        <v>2</v>
      </c>
      <c r="F624">
        <v>4</v>
      </c>
      <c r="G624" s="19">
        <v>3296</v>
      </c>
      <c r="H624" s="19">
        <v>2547</v>
      </c>
      <c r="I624" s="19">
        <v>749</v>
      </c>
      <c r="J624" s="19">
        <v>243</v>
      </c>
      <c r="K624" s="19">
        <v>97</v>
      </c>
      <c r="L624" s="19">
        <v>833</v>
      </c>
      <c r="M624" s="19">
        <v>73</v>
      </c>
      <c r="N624" s="19">
        <v>49</v>
      </c>
      <c r="O624" s="19">
        <f t="shared" si="18"/>
        <v>1295</v>
      </c>
      <c r="P624" s="19">
        <f t="shared" si="19"/>
        <v>2001</v>
      </c>
      <c r="Q624" t="s">
        <v>23</v>
      </c>
      <c r="R624" t="s">
        <v>65</v>
      </c>
      <c r="T624">
        <v>1</v>
      </c>
      <c r="U624" s="19">
        <v>1648</v>
      </c>
      <c r="V624">
        <v>0</v>
      </c>
      <c r="W624" s="19">
        <v>0</v>
      </c>
      <c r="X624">
        <v>0</v>
      </c>
      <c r="Y624" s="19">
        <v>0</v>
      </c>
      <c r="Z624">
        <v>0</v>
      </c>
      <c r="AA624" s="19">
        <v>0</v>
      </c>
      <c r="AB624">
        <v>1</v>
      </c>
      <c r="AC624" s="19">
        <v>899</v>
      </c>
      <c r="AD624">
        <v>0</v>
      </c>
      <c r="AE624" s="19">
        <v>0</v>
      </c>
      <c r="AF624">
        <v>0</v>
      </c>
      <c r="AG624" s="19">
        <v>0</v>
      </c>
      <c r="AH624">
        <v>1</v>
      </c>
      <c r="AI624" s="19">
        <v>210</v>
      </c>
      <c r="AJ624">
        <v>1</v>
      </c>
      <c r="AK624" s="19">
        <v>105</v>
      </c>
      <c r="AL624">
        <v>1</v>
      </c>
      <c r="AM624" s="19">
        <v>210</v>
      </c>
      <c r="AN624">
        <v>1</v>
      </c>
      <c r="AO624" s="19">
        <v>225</v>
      </c>
      <c r="AP624">
        <v>0</v>
      </c>
      <c r="AQ624" s="19">
        <v>0</v>
      </c>
    </row>
    <row r="625" spans="1:43" x14ac:dyDescent="0.35">
      <c r="A625" s="18">
        <v>45913</v>
      </c>
      <c r="B625" t="s">
        <v>60</v>
      </c>
      <c r="C625" t="s">
        <v>61</v>
      </c>
      <c r="D625">
        <v>8</v>
      </c>
      <c r="E625">
        <v>3</v>
      </c>
      <c r="F625">
        <v>5</v>
      </c>
      <c r="G625" s="19">
        <v>4205</v>
      </c>
      <c r="H625" s="19">
        <v>3235</v>
      </c>
      <c r="I625" s="19">
        <v>970</v>
      </c>
      <c r="J625" s="19">
        <v>243</v>
      </c>
      <c r="K625" s="19">
        <v>97</v>
      </c>
      <c r="L625" s="19">
        <v>833</v>
      </c>
      <c r="M625" s="19">
        <v>93</v>
      </c>
      <c r="N625" s="19">
        <v>65</v>
      </c>
      <c r="O625" s="19">
        <f t="shared" si="18"/>
        <v>1331</v>
      </c>
      <c r="P625" s="19">
        <f t="shared" si="19"/>
        <v>2874</v>
      </c>
      <c r="Q625" t="s">
        <v>23</v>
      </c>
      <c r="R625" t="s">
        <v>65</v>
      </c>
      <c r="T625">
        <v>1</v>
      </c>
      <c r="U625" s="19">
        <v>1423</v>
      </c>
      <c r="V625">
        <v>0</v>
      </c>
      <c r="W625" s="19">
        <v>0</v>
      </c>
      <c r="X625">
        <v>0</v>
      </c>
      <c r="Y625" s="19">
        <v>0</v>
      </c>
      <c r="Z625">
        <v>1</v>
      </c>
      <c r="AA625" s="19">
        <v>1035</v>
      </c>
      <c r="AB625">
        <v>1</v>
      </c>
      <c r="AC625" s="19">
        <v>776</v>
      </c>
      <c r="AD625">
        <v>0</v>
      </c>
      <c r="AE625" s="19">
        <v>0</v>
      </c>
      <c r="AF625">
        <v>0</v>
      </c>
      <c r="AG625" s="19">
        <v>0</v>
      </c>
      <c r="AH625">
        <v>1</v>
      </c>
      <c r="AI625" s="19">
        <v>181</v>
      </c>
      <c r="AJ625">
        <v>1</v>
      </c>
      <c r="AK625" s="19">
        <v>91</v>
      </c>
      <c r="AL625">
        <v>1</v>
      </c>
      <c r="AM625" s="19">
        <v>181</v>
      </c>
      <c r="AN625">
        <v>1</v>
      </c>
      <c r="AO625" s="19">
        <v>194</v>
      </c>
      <c r="AP625">
        <v>1</v>
      </c>
      <c r="AQ625" s="19">
        <v>323</v>
      </c>
    </row>
    <row r="626" spans="1:43" x14ac:dyDescent="0.35">
      <c r="A626" s="18">
        <v>45914</v>
      </c>
      <c r="B626" t="s">
        <v>62</v>
      </c>
      <c r="C626" t="s">
        <v>61</v>
      </c>
      <c r="D626">
        <v>7</v>
      </c>
      <c r="E626">
        <v>3</v>
      </c>
      <c r="F626">
        <v>4</v>
      </c>
      <c r="G626" s="19">
        <v>3801</v>
      </c>
      <c r="H626" s="19">
        <v>3167</v>
      </c>
      <c r="I626" s="19">
        <v>634</v>
      </c>
      <c r="J626" s="19">
        <v>243</v>
      </c>
      <c r="K626" s="19">
        <v>97</v>
      </c>
      <c r="L626" s="19">
        <v>833</v>
      </c>
      <c r="M626" s="19">
        <v>84</v>
      </c>
      <c r="N626" s="19">
        <v>57</v>
      </c>
      <c r="O626" s="19">
        <f t="shared" si="18"/>
        <v>1314</v>
      </c>
      <c r="P626" s="19">
        <f t="shared" si="19"/>
        <v>2487</v>
      </c>
      <c r="Q626" t="s">
        <v>23</v>
      </c>
      <c r="R626" t="s">
        <v>65</v>
      </c>
      <c r="T626">
        <v>1</v>
      </c>
      <c r="U626" s="19">
        <v>1394</v>
      </c>
      <c r="V626">
        <v>0</v>
      </c>
      <c r="W626" s="19">
        <v>0</v>
      </c>
      <c r="X626">
        <v>0</v>
      </c>
      <c r="Y626" s="19">
        <v>0</v>
      </c>
      <c r="Z626">
        <v>1</v>
      </c>
      <c r="AA626" s="19">
        <v>1014</v>
      </c>
      <c r="AB626">
        <v>1</v>
      </c>
      <c r="AC626" s="19">
        <v>760</v>
      </c>
      <c r="AD626">
        <v>0</v>
      </c>
      <c r="AE626" s="19">
        <v>0</v>
      </c>
      <c r="AF626">
        <v>0</v>
      </c>
      <c r="AG626" s="19">
        <v>0</v>
      </c>
      <c r="AH626">
        <v>1</v>
      </c>
      <c r="AI626" s="19">
        <v>177</v>
      </c>
      <c r="AJ626">
        <v>1</v>
      </c>
      <c r="AK626" s="19">
        <v>89</v>
      </c>
      <c r="AL626">
        <v>1</v>
      </c>
      <c r="AM626" s="19">
        <v>177</v>
      </c>
      <c r="AN626">
        <v>1</v>
      </c>
      <c r="AO626" s="19">
        <v>190</v>
      </c>
      <c r="AP626">
        <v>0</v>
      </c>
      <c r="AQ626" s="19">
        <v>0</v>
      </c>
    </row>
    <row r="627" spans="1:43" x14ac:dyDescent="0.35">
      <c r="A627" s="18">
        <v>45915</v>
      </c>
      <c r="B627" t="s">
        <v>52</v>
      </c>
      <c r="C627" t="s">
        <v>53</v>
      </c>
      <c r="D627">
        <v>6</v>
      </c>
      <c r="E627">
        <v>2</v>
      </c>
      <c r="F627">
        <v>4</v>
      </c>
      <c r="G627" s="19">
        <v>2966</v>
      </c>
      <c r="H627" s="19">
        <v>2292</v>
      </c>
      <c r="I627" s="19">
        <v>674</v>
      </c>
      <c r="J627" s="19">
        <v>243</v>
      </c>
      <c r="K627" s="19">
        <v>97</v>
      </c>
      <c r="L627" s="19">
        <v>833</v>
      </c>
      <c r="M627" s="19">
        <v>65</v>
      </c>
      <c r="N627" s="19">
        <v>49</v>
      </c>
      <c r="O627" s="19">
        <f t="shared" si="18"/>
        <v>1287</v>
      </c>
      <c r="P627" s="19">
        <f t="shared" si="19"/>
        <v>1679</v>
      </c>
      <c r="Q627" t="s">
        <v>23</v>
      </c>
      <c r="R627" t="s">
        <v>65</v>
      </c>
      <c r="T627">
        <v>1</v>
      </c>
      <c r="U627" s="19">
        <v>1483</v>
      </c>
      <c r="V627">
        <v>0</v>
      </c>
      <c r="W627" s="19">
        <v>0</v>
      </c>
      <c r="X627">
        <v>0</v>
      </c>
      <c r="Y627" s="19">
        <v>0</v>
      </c>
      <c r="Z627">
        <v>0</v>
      </c>
      <c r="AA627" s="19">
        <v>0</v>
      </c>
      <c r="AB627">
        <v>1</v>
      </c>
      <c r="AC627" s="19">
        <v>809</v>
      </c>
      <c r="AD627">
        <v>0</v>
      </c>
      <c r="AE627" s="19">
        <v>0</v>
      </c>
      <c r="AF627">
        <v>0</v>
      </c>
      <c r="AG627" s="19">
        <v>0</v>
      </c>
      <c r="AH627">
        <v>1</v>
      </c>
      <c r="AI627" s="19">
        <v>189</v>
      </c>
      <c r="AJ627">
        <v>1</v>
      </c>
      <c r="AK627" s="19">
        <v>94</v>
      </c>
      <c r="AL627">
        <v>1</v>
      </c>
      <c r="AM627" s="19">
        <v>189</v>
      </c>
      <c r="AN627">
        <v>1</v>
      </c>
      <c r="AO627" s="19">
        <v>202</v>
      </c>
      <c r="AP627">
        <v>0</v>
      </c>
      <c r="AQ627" s="19">
        <v>0</v>
      </c>
    </row>
    <row r="628" spans="1:43" x14ac:dyDescent="0.35">
      <c r="A628" s="18">
        <v>45916</v>
      </c>
      <c r="B628" t="s">
        <v>56</v>
      </c>
      <c r="C628" t="s">
        <v>53</v>
      </c>
      <c r="D628">
        <v>6</v>
      </c>
      <c r="E628">
        <v>2</v>
      </c>
      <c r="F628">
        <v>4</v>
      </c>
      <c r="G628" s="19">
        <v>3050</v>
      </c>
      <c r="H628" s="19">
        <v>2357</v>
      </c>
      <c r="I628" s="19">
        <v>693</v>
      </c>
      <c r="J628" s="19">
        <v>243</v>
      </c>
      <c r="K628" s="19">
        <v>97</v>
      </c>
      <c r="L628" s="19">
        <v>833</v>
      </c>
      <c r="M628" s="19">
        <v>67</v>
      </c>
      <c r="N628" s="19">
        <v>49</v>
      </c>
      <c r="O628" s="19">
        <f t="shared" si="18"/>
        <v>1289</v>
      </c>
      <c r="P628" s="19">
        <f t="shared" si="19"/>
        <v>1761</v>
      </c>
      <c r="Q628" t="s">
        <v>23</v>
      </c>
      <c r="R628" t="s">
        <v>65</v>
      </c>
      <c r="T628">
        <v>1</v>
      </c>
      <c r="U628" s="19">
        <v>1525</v>
      </c>
      <c r="V628">
        <v>0</v>
      </c>
      <c r="W628" s="19">
        <v>0</v>
      </c>
      <c r="X628">
        <v>0</v>
      </c>
      <c r="Y628" s="19">
        <v>0</v>
      </c>
      <c r="Z628">
        <v>0</v>
      </c>
      <c r="AA628" s="19">
        <v>0</v>
      </c>
      <c r="AB628">
        <v>1</v>
      </c>
      <c r="AC628" s="19">
        <v>832</v>
      </c>
      <c r="AD628">
        <v>0</v>
      </c>
      <c r="AE628" s="19">
        <v>0</v>
      </c>
      <c r="AF628">
        <v>0</v>
      </c>
      <c r="AG628" s="19">
        <v>0</v>
      </c>
      <c r="AH628">
        <v>1</v>
      </c>
      <c r="AI628" s="19">
        <v>194</v>
      </c>
      <c r="AJ628">
        <v>1</v>
      </c>
      <c r="AK628" s="19">
        <v>97</v>
      </c>
      <c r="AL628">
        <v>1</v>
      </c>
      <c r="AM628" s="19">
        <v>194</v>
      </c>
      <c r="AN628">
        <v>1</v>
      </c>
      <c r="AO628" s="19">
        <v>208</v>
      </c>
      <c r="AP628">
        <v>0</v>
      </c>
      <c r="AQ628" s="19">
        <v>0</v>
      </c>
    </row>
    <row r="629" spans="1:43" x14ac:dyDescent="0.35">
      <c r="A629" s="18">
        <v>45917</v>
      </c>
      <c r="B629" t="s">
        <v>57</v>
      </c>
      <c r="C629" t="s">
        <v>53</v>
      </c>
      <c r="D629">
        <v>6</v>
      </c>
      <c r="E629">
        <v>2</v>
      </c>
      <c r="F629">
        <v>4</v>
      </c>
      <c r="G629" s="19">
        <v>3192</v>
      </c>
      <c r="H629" s="19">
        <v>2467</v>
      </c>
      <c r="I629" s="19">
        <v>725</v>
      </c>
      <c r="J629" s="19">
        <v>243</v>
      </c>
      <c r="K629" s="19">
        <v>97</v>
      </c>
      <c r="L629" s="19">
        <v>833</v>
      </c>
      <c r="M629" s="19">
        <v>70</v>
      </c>
      <c r="N629" s="19">
        <v>49</v>
      </c>
      <c r="O629" s="19">
        <f t="shared" si="18"/>
        <v>1292</v>
      </c>
      <c r="P629" s="19">
        <f t="shared" si="19"/>
        <v>1900</v>
      </c>
      <c r="Q629" t="s">
        <v>23</v>
      </c>
      <c r="R629" t="s">
        <v>65</v>
      </c>
      <c r="T629">
        <v>1</v>
      </c>
      <c r="U629" s="19">
        <v>1596</v>
      </c>
      <c r="V629">
        <v>0</v>
      </c>
      <c r="W629" s="19">
        <v>0</v>
      </c>
      <c r="X629">
        <v>0</v>
      </c>
      <c r="Y629" s="19">
        <v>0</v>
      </c>
      <c r="Z629">
        <v>0</v>
      </c>
      <c r="AA629" s="19">
        <v>0</v>
      </c>
      <c r="AB629">
        <v>1</v>
      </c>
      <c r="AC629" s="19">
        <v>871</v>
      </c>
      <c r="AD629">
        <v>0</v>
      </c>
      <c r="AE629" s="19">
        <v>0</v>
      </c>
      <c r="AF629">
        <v>0</v>
      </c>
      <c r="AG629" s="19">
        <v>0</v>
      </c>
      <c r="AH629">
        <v>1</v>
      </c>
      <c r="AI629" s="19">
        <v>203</v>
      </c>
      <c r="AJ629">
        <v>1</v>
      </c>
      <c r="AK629" s="19">
        <v>102</v>
      </c>
      <c r="AL629">
        <v>1</v>
      </c>
      <c r="AM629" s="19">
        <v>203</v>
      </c>
      <c r="AN629">
        <v>1</v>
      </c>
      <c r="AO629" s="19">
        <v>218</v>
      </c>
      <c r="AP629">
        <v>0</v>
      </c>
      <c r="AQ629" s="19">
        <v>0</v>
      </c>
    </row>
    <row r="630" spans="1:43" x14ac:dyDescent="0.35">
      <c r="A630" s="18">
        <v>45918</v>
      </c>
      <c r="B630" t="s">
        <v>58</v>
      </c>
      <c r="C630" t="s">
        <v>53</v>
      </c>
      <c r="D630">
        <v>7</v>
      </c>
      <c r="E630">
        <v>2</v>
      </c>
      <c r="F630">
        <v>5</v>
      </c>
      <c r="G630" s="19">
        <v>3580</v>
      </c>
      <c r="H630" s="19">
        <v>2484</v>
      </c>
      <c r="I630" s="19">
        <v>1096</v>
      </c>
      <c r="J630" s="19">
        <v>243</v>
      </c>
      <c r="K630" s="19">
        <v>97</v>
      </c>
      <c r="L630" s="19">
        <v>833</v>
      </c>
      <c r="M630" s="19">
        <v>79</v>
      </c>
      <c r="N630" s="19">
        <v>57</v>
      </c>
      <c r="O630" s="19">
        <f t="shared" si="18"/>
        <v>1309</v>
      </c>
      <c r="P630" s="19">
        <f t="shared" si="19"/>
        <v>2271</v>
      </c>
      <c r="Q630" t="s">
        <v>23</v>
      </c>
      <c r="R630" t="s">
        <v>65</v>
      </c>
      <c r="T630">
        <v>1</v>
      </c>
      <c r="U630" s="19">
        <v>1607</v>
      </c>
      <c r="V630">
        <v>0</v>
      </c>
      <c r="W630" s="19">
        <v>0</v>
      </c>
      <c r="X630">
        <v>0</v>
      </c>
      <c r="Y630" s="19">
        <v>0</v>
      </c>
      <c r="Z630">
        <v>0</v>
      </c>
      <c r="AA630" s="19">
        <v>0</v>
      </c>
      <c r="AB630">
        <v>1</v>
      </c>
      <c r="AC630" s="19">
        <v>877</v>
      </c>
      <c r="AD630">
        <v>0</v>
      </c>
      <c r="AE630" s="19">
        <v>0</v>
      </c>
      <c r="AF630">
        <v>0</v>
      </c>
      <c r="AG630" s="19">
        <v>0</v>
      </c>
      <c r="AH630">
        <v>1</v>
      </c>
      <c r="AI630" s="19">
        <v>205</v>
      </c>
      <c r="AJ630">
        <v>1</v>
      </c>
      <c r="AK630" s="19">
        <v>102</v>
      </c>
      <c r="AL630">
        <v>1</v>
      </c>
      <c r="AM630" s="19">
        <v>205</v>
      </c>
      <c r="AN630">
        <v>1</v>
      </c>
      <c r="AO630" s="19">
        <v>219</v>
      </c>
      <c r="AP630">
        <v>1</v>
      </c>
      <c r="AQ630" s="19">
        <v>365</v>
      </c>
    </row>
    <row r="631" spans="1:43" x14ac:dyDescent="0.35">
      <c r="A631" s="18">
        <v>45919</v>
      </c>
      <c r="B631" t="s">
        <v>59</v>
      </c>
      <c r="C631" t="s">
        <v>53</v>
      </c>
      <c r="D631">
        <v>7</v>
      </c>
      <c r="E631">
        <v>2</v>
      </c>
      <c r="F631">
        <v>5</v>
      </c>
      <c r="G631" s="19">
        <v>3516</v>
      </c>
      <c r="H631" s="19">
        <v>2440</v>
      </c>
      <c r="I631" s="19">
        <v>1076</v>
      </c>
      <c r="J631" s="19">
        <v>243</v>
      </c>
      <c r="K631" s="19">
        <v>97</v>
      </c>
      <c r="L631" s="19">
        <v>833</v>
      </c>
      <c r="M631" s="19">
        <v>78</v>
      </c>
      <c r="N631" s="19">
        <v>57</v>
      </c>
      <c r="O631" s="19">
        <f t="shared" si="18"/>
        <v>1308</v>
      </c>
      <c r="P631" s="19">
        <f t="shared" si="19"/>
        <v>2208</v>
      </c>
      <c r="Q631" t="s">
        <v>23</v>
      </c>
      <c r="R631" t="s">
        <v>65</v>
      </c>
      <c r="T631">
        <v>1</v>
      </c>
      <c r="U631" s="19">
        <v>1579</v>
      </c>
      <c r="V631">
        <v>0</v>
      </c>
      <c r="W631" s="19">
        <v>0</v>
      </c>
      <c r="X631">
        <v>0</v>
      </c>
      <c r="Y631" s="19">
        <v>0</v>
      </c>
      <c r="Z631">
        <v>0</v>
      </c>
      <c r="AA631" s="19">
        <v>0</v>
      </c>
      <c r="AB631">
        <v>1</v>
      </c>
      <c r="AC631" s="19">
        <v>861</v>
      </c>
      <c r="AD631">
        <v>0</v>
      </c>
      <c r="AE631" s="19">
        <v>0</v>
      </c>
      <c r="AF631">
        <v>0</v>
      </c>
      <c r="AG631" s="19">
        <v>0</v>
      </c>
      <c r="AH631">
        <v>1</v>
      </c>
      <c r="AI631" s="19">
        <v>201</v>
      </c>
      <c r="AJ631">
        <v>1</v>
      </c>
      <c r="AK631" s="19">
        <v>100</v>
      </c>
      <c r="AL631">
        <v>1</v>
      </c>
      <c r="AM631" s="19">
        <v>201</v>
      </c>
      <c r="AN631">
        <v>1</v>
      </c>
      <c r="AO631" s="19">
        <v>215</v>
      </c>
      <c r="AP631">
        <v>1</v>
      </c>
      <c r="AQ631" s="19">
        <v>359</v>
      </c>
    </row>
    <row r="632" spans="1:43" x14ac:dyDescent="0.35">
      <c r="A632" s="18">
        <v>45920</v>
      </c>
      <c r="B632" t="s">
        <v>60</v>
      </c>
      <c r="C632" t="s">
        <v>61</v>
      </c>
      <c r="D632">
        <v>8</v>
      </c>
      <c r="E632">
        <v>3</v>
      </c>
      <c r="F632">
        <v>5</v>
      </c>
      <c r="G632" s="19">
        <v>4494</v>
      </c>
      <c r="H632" s="19">
        <v>3193</v>
      </c>
      <c r="I632" s="19">
        <v>1301</v>
      </c>
      <c r="J632" s="19">
        <v>243</v>
      </c>
      <c r="K632" s="19">
        <v>97</v>
      </c>
      <c r="L632" s="19">
        <v>833</v>
      </c>
      <c r="M632" s="19">
        <v>99</v>
      </c>
      <c r="N632" s="19">
        <v>65</v>
      </c>
      <c r="O632" s="19">
        <f t="shared" si="18"/>
        <v>1337</v>
      </c>
      <c r="P632" s="19">
        <f t="shared" si="19"/>
        <v>3157</v>
      </c>
      <c r="Q632" t="s">
        <v>23</v>
      </c>
      <c r="R632" t="s">
        <v>65</v>
      </c>
      <c r="T632">
        <v>1</v>
      </c>
      <c r="U632" s="19">
        <v>1909</v>
      </c>
      <c r="V632">
        <v>0</v>
      </c>
      <c r="W632" s="19">
        <v>0</v>
      </c>
      <c r="X632">
        <v>0</v>
      </c>
      <c r="Y632" s="19">
        <v>0</v>
      </c>
      <c r="Z632">
        <v>0</v>
      </c>
      <c r="AA632" s="19">
        <v>0</v>
      </c>
      <c r="AB632">
        <v>1</v>
      </c>
      <c r="AC632" s="19">
        <v>1041</v>
      </c>
      <c r="AD632">
        <v>0</v>
      </c>
      <c r="AE632" s="19">
        <v>0</v>
      </c>
      <c r="AF632">
        <v>0</v>
      </c>
      <c r="AG632" s="19">
        <v>0</v>
      </c>
      <c r="AH632">
        <v>2</v>
      </c>
      <c r="AI632" s="19">
        <v>486</v>
      </c>
      <c r="AJ632">
        <v>1</v>
      </c>
      <c r="AK632" s="19">
        <v>121</v>
      </c>
      <c r="AL632">
        <v>1</v>
      </c>
      <c r="AM632" s="19">
        <v>243</v>
      </c>
      <c r="AN632">
        <v>1</v>
      </c>
      <c r="AO632" s="19">
        <v>260</v>
      </c>
      <c r="AP632">
        <v>1</v>
      </c>
      <c r="AQ632" s="19">
        <v>434</v>
      </c>
    </row>
    <row r="633" spans="1:43" x14ac:dyDescent="0.35">
      <c r="A633" s="18">
        <v>45921</v>
      </c>
      <c r="B633" t="s">
        <v>62</v>
      </c>
      <c r="C633" t="s">
        <v>61</v>
      </c>
      <c r="D633">
        <v>8</v>
      </c>
      <c r="E633">
        <v>3</v>
      </c>
      <c r="F633">
        <v>5</v>
      </c>
      <c r="G633" s="19">
        <v>4263</v>
      </c>
      <c r="H633" s="19">
        <v>3029</v>
      </c>
      <c r="I633" s="19">
        <v>1234</v>
      </c>
      <c r="J633" s="19">
        <v>243</v>
      </c>
      <c r="K633" s="19">
        <v>97</v>
      </c>
      <c r="L633" s="19">
        <v>833</v>
      </c>
      <c r="M633" s="19">
        <v>94</v>
      </c>
      <c r="N633" s="19">
        <v>65</v>
      </c>
      <c r="O633" s="19">
        <f t="shared" si="18"/>
        <v>1332</v>
      </c>
      <c r="P633" s="19">
        <f t="shared" si="19"/>
        <v>2931</v>
      </c>
      <c r="Q633" t="s">
        <v>23</v>
      </c>
      <c r="R633" t="s">
        <v>65</v>
      </c>
      <c r="T633">
        <v>1</v>
      </c>
      <c r="U633" s="19">
        <v>1811</v>
      </c>
      <c r="V633">
        <v>0</v>
      </c>
      <c r="W633" s="19">
        <v>0</v>
      </c>
      <c r="X633">
        <v>0</v>
      </c>
      <c r="Y633" s="19">
        <v>0</v>
      </c>
      <c r="Z633">
        <v>0</v>
      </c>
      <c r="AA633" s="19">
        <v>0</v>
      </c>
      <c r="AB633">
        <v>1</v>
      </c>
      <c r="AC633" s="19">
        <v>988</v>
      </c>
      <c r="AD633">
        <v>0</v>
      </c>
      <c r="AE633" s="19">
        <v>0</v>
      </c>
      <c r="AF633">
        <v>0</v>
      </c>
      <c r="AG633" s="19">
        <v>0</v>
      </c>
      <c r="AH633">
        <v>2</v>
      </c>
      <c r="AI633" s="19">
        <v>461</v>
      </c>
      <c r="AJ633">
        <v>1</v>
      </c>
      <c r="AK633" s="19">
        <v>115</v>
      </c>
      <c r="AL633">
        <v>1</v>
      </c>
      <c r="AM633" s="19">
        <v>230</v>
      </c>
      <c r="AN633">
        <v>1</v>
      </c>
      <c r="AO633" s="19">
        <v>247</v>
      </c>
      <c r="AP633">
        <v>1</v>
      </c>
      <c r="AQ633" s="19">
        <v>411</v>
      </c>
    </row>
    <row r="634" spans="1:43" x14ac:dyDescent="0.35">
      <c r="A634" s="18">
        <v>45922</v>
      </c>
      <c r="B634" t="s">
        <v>52</v>
      </c>
      <c r="C634" t="s">
        <v>53</v>
      </c>
      <c r="D634">
        <v>6</v>
      </c>
      <c r="E634">
        <v>1</v>
      </c>
      <c r="F634">
        <v>5</v>
      </c>
      <c r="G634" s="19">
        <v>3217</v>
      </c>
      <c r="H634" s="19">
        <v>1430</v>
      </c>
      <c r="I634" s="19">
        <v>1787</v>
      </c>
      <c r="J634" s="19">
        <v>243</v>
      </c>
      <c r="K634" s="19">
        <v>97</v>
      </c>
      <c r="L634" s="19">
        <v>833</v>
      </c>
      <c r="M634" s="19">
        <v>71</v>
      </c>
      <c r="N634" s="19">
        <v>49</v>
      </c>
      <c r="O634" s="19">
        <f t="shared" si="18"/>
        <v>1293</v>
      </c>
      <c r="P634" s="19">
        <f t="shared" si="19"/>
        <v>1924</v>
      </c>
      <c r="Q634" t="s">
        <v>27</v>
      </c>
      <c r="R634" t="s">
        <v>65</v>
      </c>
      <c r="T634">
        <v>0</v>
      </c>
      <c r="U634" s="19">
        <v>0</v>
      </c>
      <c r="V634">
        <v>0</v>
      </c>
      <c r="W634" s="19">
        <v>0</v>
      </c>
      <c r="X634">
        <v>0</v>
      </c>
      <c r="Y634" s="19">
        <v>0</v>
      </c>
      <c r="Z634">
        <v>0</v>
      </c>
      <c r="AA634" s="19">
        <v>0</v>
      </c>
      <c r="AB634">
        <v>1</v>
      </c>
      <c r="AC634" s="19">
        <v>1430</v>
      </c>
      <c r="AD634">
        <v>0</v>
      </c>
      <c r="AE634" s="19">
        <v>0</v>
      </c>
      <c r="AF634">
        <v>0</v>
      </c>
      <c r="AG634" s="19">
        <v>0</v>
      </c>
      <c r="AH634">
        <v>1</v>
      </c>
      <c r="AI634" s="19">
        <v>334</v>
      </c>
      <c r="AJ634">
        <v>1</v>
      </c>
      <c r="AK634" s="19">
        <v>167</v>
      </c>
      <c r="AL634">
        <v>1</v>
      </c>
      <c r="AM634" s="19">
        <v>334</v>
      </c>
      <c r="AN634">
        <v>1</v>
      </c>
      <c r="AO634" s="19">
        <v>357</v>
      </c>
      <c r="AP634">
        <v>1</v>
      </c>
      <c r="AQ634" s="19">
        <v>596</v>
      </c>
    </row>
    <row r="635" spans="1:43" x14ac:dyDescent="0.35">
      <c r="A635" s="18">
        <v>45923</v>
      </c>
      <c r="B635" t="s">
        <v>56</v>
      </c>
      <c r="C635" t="s">
        <v>53</v>
      </c>
      <c r="D635">
        <v>6</v>
      </c>
      <c r="E635">
        <v>2</v>
      </c>
      <c r="F635">
        <v>4</v>
      </c>
      <c r="G635" s="19">
        <v>3104</v>
      </c>
      <c r="H635" s="19">
        <v>2399</v>
      </c>
      <c r="I635" s="19">
        <v>705</v>
      </c>
      <c r="J635" s="19">
        <v>243</v>
      </c>
      <c r="K635" s="19">
        <v>97</v>
      </c>
      <c r="L635" s="19">
        <v>833</v>
      </c>
      <c r="M635" s="19">
        <v>68</v>
      </c>
      <c r="N635" s="19">
        <v>49</v>
      </c>
      <c r="O635" s="19">
        <f t="shared" si="18"/>
        <v>1290</v>
      </c>
      <c r="P635" s="19">
        <f t="shared" si="19"/>
        <v>1814</v>
      </c>
      <c r="Q635" t="s">
        <v>23</v>
      </c>
      <c r="R635" t="s">
        <v>65</v>
      </c>
      <c r="T635">
        <v>1</v>
      </c>
      <c r="U635" s="19">
        <v>1552</v>
      </c>
      <c r="V635">
        <v>0</v>
      </c>
      <c r="W635" s="19">
        <v>0</v>
      </c>
      <c r="X635">
        <v>0</v>
      </c>
      <c r="Y635" s="19">
        <v>0</v>
      </c>
      <c r="Z635">
        <v>0</v>
      </c>
      <c r="AA635" s="19">
        <v>0</v>
      </c>
      <c r="AB635">
        <v>1</v>
      </c>
      <c r="AC635" s="19">
        <v>847</v>
      </c>
      <c r="AD635">
        <v>0</v>
      </c>
      <c r="AE635" s="19">
        <v>0</v>
      </c>
      <c r="AF635">
        <v>0</v>
      </c>
      <c r="AG635" s="19">
        <v>0</v>
      </c>
      <c r="AH635">
        <v>1</v>
      </c>
      <c r="AI635" s="19">
        <v>198</v>
      </c>
      <c r="AJ635">
        <v>1</v>
      </c>
      <c r="AK635" s="19">
        <v>99</v>
      </c>
      <c r="AL635">
        <v>1</v>
      </c>
      <c r="AM635" s="19">
        <v>198</v>
      </c>
      <c r="AN635">
        <v>1</v>
      </c>
      <c r="AO635" s="19">
        <v>212</v>
      </c>
      <c r="AP635">
        <v>0</v>
      </c>
      <c r="AQ635" s="19">
        <v>0</v>
      </c>
    </row>
    <row r="636" spans="1:43" x14ac:dyDescent="0.35">
      <c r="A636" s="18">
        <v>45924</v>
      </c>
      <c r="B636" t="s">
        <v>57</v>
      </c>
      <c r="C636" t="s">
        <v>53</v>
      </c>
      <c r="D636">
        <v>6</v>
      </c>
      <c r="E636">
        <v>2</v>
      </c>
      <c r="F636">
        <v>4</v>
      </c>
      <c r="G636" s="19">
        <v>3076</v>
      </c>
      <c r="H636" s="19">
        <v>2377</v>
      </c>
      <c r="I636" s="19">
        <v>699</v>
      </c>
      <c r="J636" s="19">
        <v>243</v>
      </c>
      <c r="K636" s="19">
        <v>97</v>
      </c>
      <c r="L636" s="19">
        <v>833</v>
      </c>
      <c r="M636" s="19">
        <v>68</v>
      </c>
      <c r="N636" s="19">
        <v>49</v>
      </c>
      <c r="O636" s="19">
        <f t="shared" si="18"/>
        <v>1290</v>
      </c>
      <c r="P636" s="19">
        <f t="shared" si="19"/>
        <v>1786</v>
      </c>
      <c r="Q636" t="s">
        <v>23</v>
      </c>
      <c r="R636" t="s">
        <v>65</v>
      </c>
      <c r="T636">
        <v>1</v>
      </c>
      <c r="U636" s="19">
        <v>1538</v>
      </c>
      <c r="V636">
        <v>0</v>
      </c>
      <c r="W636" s="19">
        <v>0</v>
      </c>
      <c r="X636">
        <v>0</v>
      </c>
      <c r="Y636" s="19">
        <v>0</v>
      </c>
      <c r="Z636">
        <v>0</v>
      </c>
      <c r="AA636" s="19">
        <v>0</v>
      </c>
      <c r="AB636">
        <v>1</v>
      </c>
      <c r="AC636" s="19">
        <v>839</v>
      </c>
      <c r="AD636">
        <v>0</v>
      </c>
      <c r="AE636" s="19">
        <v>0</v>
      </c>
      <c r="AF636">
        <v>0</v>
      </c>
      <c r="AG636" s="19">
        <v>0</v>
      </c>
      <c r="AH636">
        <v>1</v>
      </c>
      <c r="AI636" s="19">
        <v>196</v>
      </c>
      <c r="AJ636">
        <v>1</v>
      </c>
      <c r="AK636" s="19">
        <v>98</v>
      </c>
      <c r="AL636">
        <v>1</v>
      </c>
      <c r="AM636" s="19">
        <v>196</v>
      </c>
      <c r="AN636">
        <v>1</v>
      </c>
      <c r="AO636" s="19">
        <v>210</v>
      </c>
      <c r="AP636">
        <v>0</v>
      </c>
      <c r="AQ636" s="19">
        <v>0</v>
      </c>
    </row>
    <row r="637" spans="1:43" x14ac:dyDescent="0.35">
      <c r="A637" s="18">
        <v>45925</v>
      </c>
      <c r="B637" t="s">
        <v>58</v>
      </c>
      <c r="C637" t="s">
        <v>53</v>
      </c>
      <c r="D637">
        <v>6</v>
      </c>
      <c r="E637">
        <v>1</v>
      </c>
      <c r="F637">
        <v>5</v>
      </c>
      <c r="G637" s="19">
        <v>3276</v>
      </c>
      <c r="H637" s="19">
        <v>1948</v>
      </c>
      <c r="I637" s="19">
        <v>1328</v>
      </c>
      <c r="J637" s="19">
        <v>243</v>
      </c>
      <c r="K637" s="19">
        <v>97</v>
      </c>
      <c r="L637" s="19">
        <v>833</v>
      </c>
      <c r="M637" s="19">
        <v>72</v>
      </c>
      <c r="N637" s="19">
        <v>49</v>
      </c>
      <c r="O637" s="19">
        <f t="shared" si="18"/>
        <v>1294</v>
      </c>
      <c r="P637" s="19">
        <f t="shared" si="19"/>
        <v>1982</v>
      </c>
      <c r="Q637" t="s">
        <v>23</v>
      </c>
      <c r="R637" t="s">
        <v>65</v>
      </c>
      <c r="T637">
        <v>1</v>
      </c>
      <c r="U637" s="19">
        <v>1948</v>
      </c>
      <c r="V637">
        <v>0</v>
      </c>
      <c r="W637" s="19">
        <v>0</v>
      </c>
      <c r="X637">
        <v>0</v>
      </c>
      <c r="Y637" s="19">
        <v>0</v>
      </c>
      <c r="Z637">
        <v>0</v>
      </c>
      <c r="AA637" s="19">
        <v>0</v>
      </c>
      <c r="AB637">
        <v>0</v>
      </c>
      <c r="AC637" s="19">
        <v>0</v>
      </c>
      <c r="AD637">
        <v>0</v>
      </c>
      <c r="AE637" s="19">
        <v>0</v>
      </c>
      <c r="AF637">
        <v>0</v>
      </c>
      <c r="AG637" s="19">
        <v>0</v>
      </c>
      <c r="AH637">
        <v>1</v>
      </c>
      <c r="AI637" s="19">
        <v>248</v>
      </c>
      <c r="AJ637">
        <v>1</v>
      </c>
      <c r="AK637" s="19">
        <v>124</v>
      </c>
      <c r="AL637">
        <v>1</v>
      </c>
      <c r="AM637" s="19">
        <v>248</v>
      </c>
      <c r="AN637">
        <v>1</v>
      </c>
      <c r="AO637" s="19">
        <v>266</v>
      </c>
      <c r="AP637">
        <v>1</v>
      </c>
      <c r="AQ637" s="19">
        <v>443</v>
      </c>
    </row>
    <row r="638" spans="1:43" x14ac:dyDescent="0.35">
      <c r="A638" s="18">
        <v>45926</v>
      </c>
      <c r="B638" t="s">
        <v>59</v>
      </c>
      <c r="C638" t="s">
        <v>53</v>
      </c>
      <c r="D638">
        <v>6</v>
      </c>
      <c r="E638">
        <v>1</v>
      </c>
      <c r="F638">
        <v>5</v>
      </c>
      <c r="G638" s="19">
        <v>3487</v>
      </c>
      <c r="H638" s="19">
        <v>1550</v>
      </c>
      <c r="I638" s="19">
        <v>1937</v>
      </c>
      <c r="J638" s="19">
        <v>243</v>
      </c>
      <c r="K638" s="19">
        <v>97</v>
      </c>
      <c r="L638" s="19">
        <v>833</v>
      </c>
      <c r="M638" s="19">
        <v>77</v>
      </c>
      <c r="N638" s="19">
        <v>49</v>
      </c>
      <c r="O638" s="19">
        <f t="shared" si="18"/>
        <v>1299</v>
      </c>
      <c r="P638" s="19">
        <f t="shared" si="19"/>
        <v>2188</v>
      </c>
      <c r="Q638" t="s">
        <v>27</v>
      </c>
      <c r="R638" t="s">
        <v>65</v>
      </c>
      <c r="T638">
        <v>0</v>
      </c>
      <c r="U638" s="19">
        <v>0</v>
      </c>
      <c r="V638">
        <v>0</v>
      </c>
      <c r="W638" s="19">
        <v>0</v>
      </c>
      <c r="X638">
        <v>0</v>
      </c>
      <c r="Y638" s="19">
        <v>0</v>
      </c>
      <c r="Z638">
        <v>0</v>
      </c>
      <c r="AA638" s="19">
        <v>0</v>
      </c>
      <c r="AB638">
        <v>1</v>
      </c>
      <c r="AC638" s="19">
        <v>1550</v>
      </c>
      <c r="AD638">
        <v>0</v>
      </c>
      <c r="AE638" s="19">
        <v>0</v>
      </c>
      <c r="AF638">
        <v>0</v>
      </c>
      <c r="AG638" s="19">
        <v>0</v>
      </c>
      <c r="AH638">
        <v>1</v>
      </c>
      <c r="AI638" s="19">
        <v>362</v>
      </c>
      <c r="AJ638">
        <v>1</v>
      </c>
      <c r="AK638" s="19">
        <v>181</v>
      </c>
      <c r="AL638">
        <v>1</v>
      </c>
      <c r="AM638" s="19">
        <v>362</v>
      </c>
      <c r="AN638">
        <v>1</v>
      </c>
      <c r="AO638" s="19">
        <v>387</v>
      </c>
      <c r="AP638">
        <v>1</v>
      </c>
      <c r="AQ638" s="19">
        <v>646</v>
      </c>
    </row>
    <row r="639" spans="1:43" x14ac:dyDescent="0.35">
      <c r="A639" s="18">
        <v>45927</v>
      </c>
      <c r="B639" t="s">
        <v>60</v>
      </c>
      <c r="C639" t="s">
        <v>61</v>
      </c>
      <c r="D639">
        <v>8</v>
      </c>
      <c r="E639">
        <v>3</v>
      </c>
      <c r="F639">
        <v>5</v>
      </c>
      <c r="G639" s="19">
        <v>4300</v>
      </c>
      <c r="H639" s="19">
        <v>3055</v>
      </c>
      <c r="I639" s="19">
        <v>1245</v>
      </c>
      <c r="J639" s="19">
        <v>243</v>
      </c>
      <c r="K639" s="19">
        <v>97</v>
      </c>
      <c r="L639" s="19">
        <v>833</v>
      </c>
      <c r="M639" s="19">
        <v>95</v>
      </c>
      <c r="N639" s="19">
        <v>65</v>
      </c>
      <c r="O639" s="19">
        <f t="shared" si="18"/>
        <v>1333</v>
      </c>
      <c r="P639" s="19">
        <f t="shared" si="19"/>
        <v>2967</v>
      </c>
      <c r="Q639" t="s">
        <v>23</v>
      </c>
      <c r="R639" t="s">
        <v>65</v>
      </c>
      <c r="T639">
        <v>1</v>
      </c>
      <c r="U639" s="19">
        <v>1826</v>
      </c>
      <c r="V639">
        <v>0</v>
      </c>
      <c r="W639" s="19">
        <v>0</v>
      </c>
      <c r="X639">
        <v>0</v>
      </c>
      <c r="Y639" s="19">
        <v>0</v>
      </c>
      <c r="Z639">
        <v>0</v>
      </c>
      <c r="AA639" s="19">
        <v>0</v>
      </c>
      <c r="AB639">
        <v>1</v>
      </c>
      <c r="AC639" s="19">
        <v>996</v>
      </c>
      <c r="AD639">
        <v>0</v>
      </c>
      <c r="AE639" s="19">
        <v>0</v>
      </c>
      <c r="AF639">
        <v>0</v>
      </c>
      <c r="AG639" s="19">
        <v>0</v>
      </c>
      <c r="AH639">
        <v>2</v>
      </c>
      <c r="AI639" s="19">
        <v>465</v>
      </c>
      <c r="AJ639">
        <v>1</v>
      </c>
      <c r="AK639" s="19">
        <v>116</v>
      </c>
      <c r="AL639">
        <v>1</v>
      </c>
      <c r="AM639" s="19">
        <v>232</v>
      </c>
      <c r="AN639">
        <v>1</v>
      </c>
      <c r="AO639" s="19">
        <v>249</v>
      </c>
      <c r="AP639">
        <v>1</v>
      </c>
      <c r="AQ639" s="19">
        <v>415</v>
      </c>
    </row>
    <row r="640" spans="1:43" x14ac:dyDescent="0.35">
      <c r="A640" s="18">
        <v>45928</v>
      </c>
      <c r="B640" t="s">
        <v>62</v>
      </c>
      <c r="C640" t="s">
        <v>61</v>
      </c>
      <c r="D640">
        <v>7</v>
      </c>
      <c r="E640">
        <v>2</v>
      </c>
      <c r="F640">
        <v>5</v>
      </c>
      <c r="G640" s="19">
        <v>3894</v>
      </c>
      <c r="H640" s="19">
        <v>2702</v>
      </c>
      <c r="I640" s="19">
        <v>1192</v>
      </c>
      <c r="J640" s="19">
        <v>243</v>
      </c>
      <c r="K640" s="19">
        <v>97</v>
      </c>
      <c r="L640" s="19">
        <v>833</v>
      </c>
      <c r="M640" s="19">
        <v>86</v>
      </c>
      <c r="N640" s="19">
        <v>57</v>
      </c>
      <c r="O640" s="19">
        <f t="shared" si="18"/>
        <v>1316</v>
      </c>
      <c r="P640" s="19">
        <f t="shared" si="19"/>
        <v>2578</v>
      </c>
      <c r="Q640" t="s">
        <v>23</v>
      </c>
      <c r="R640" t="s">
        <v>65</v>
      </c>
      <c r="T640">
        <v>1</v>
      </c>
      <c r="U640" s="19">
        <v>1748</v>
      </c>
      <c r="V640">
        <v>0</v>
      </c>
      <c r="W640" s="19">
        <v>0</v>
      </c>
      <c r="X640">
        <v>0</v>
      </c>
      <c r="Y640" s="19">
        <v>0</v>
      </c>
      <c r="Z640">
        <v>0</v>
      </c>
      <c r="AA640" s="19">
        <v>0</v>
      </c>
      <c r="AB640">
        <v>1</v>
      </c>
      <c r="AC640" s="19">
        <v>954</v>
      </c>
      <c r="AD640">
        <v>0</v>
      </c>
      <c r="AE640" s="19">
        <v>0</v>
      </c>
      <c r="AF640">
        <v>0</v>
      </c>
      <c r="AG640" s="19">
        <v>0</v>
      </c>
      <c r="AH640">
        <v>1</v>
      </c>
      <c r="AI640" s="19">
        <v>223</v>
      </c>
      <c r="AJ640">
        <v>1</v>
      </c>
      <c r="AK640" s="19">
        <v>111</v>
      </c>
      <c r="AL640">
        <v>1</v>
      </c>
      <c r="AM640" s="19">
        <v>223</v>
      </c>
      <c r="AN640">
        <v>1</v>
      </c>
      <c r="AO640" s="19">
        <v>238</v>
      </c>
      <c r="AP640">
        <v>1</v>
      </c>
      <c r="AQ640" s="19">
        <v>397</v>
      </c>
    </row>
    <row r="641" spans="1:43" x14ac:dyDescent="0.35">
      <c r="A641" s="18">
        <v>45929</v>
      </c>
      <c r="B641" t="s">
        <v>52</v>
      </c>
      <c r="C641" t="s">
        <v>53</v>
      </c>
      <c r="D641">
        <v>6</v>
      </c>
      <c r="E641">
        <v>1</v>
      </c>
      <c r="F641">
        <v>5</v>
      </c>
      <c r="G641" s="19">
        <v>3033</v>
      </c>
      <c r="H641" s="19">
        <v>1348</v>
      </c>
      <c r="I641" s="19">
        <v>1685</v>
      </c>
      <c r="J641" s="19">
        <v>243</v>
      </c>
      <c r="K641" s="19">
        <v>97</v>
      </c>
      <c r="L641" s="19">
        <v>833</v>
      </c>
      <c r="M641" s="19">
        <v>67</v>
      </c>
      <c r="N641" s="19">
        <v>49</v>
      </c>
      <c r="O641" s="19">
        <f t="shared" si="18"/>
        <v>1289</v>
      </c>
      <c r="P641" s="19">
        <f t="shared" si="19"/>
        <v>1744</v>
      </c>
      <c r="Q641" t="s">
        <v>27</v>
      </c>
      <c r="R641" t="s">
        <v>65</v>
      </c>
      <c r="T641">
        <v>0</v>
      </c>
      <c r="U641" s="19">
        <v>0</v>
      </c>
      <c r="V641">
        <v>0</v>
      </c>
      <c r="W641" s="19">
        <v>0</v>
      </c>
      <c r="X641">
        <v>0</v>
      </c>
      <c r="Y641" s="19">
        <v>0</v>
      </c>
      <c r="Z641">
        <v>0</v>
      </c>
      <c r="AA641" s="19">
        <v>0</v>
      </c>
      <c r="AB641">
        <v>1</v>
      </c>
      <c r="AC641" s="19">
        <v>1348</v>
      </c>
      <c r="AD641">
        <v>0</v>
      </c>
      <c r="AE641" s="19">
        <v>0</v>
      </c>
      <c r="AF641">
        <v>0</v>
      </c>
      <c r="AG641" s="19">
        <v>0</v>
      </c>
      <c r="AH641">
        <v>1</v>
      </c>
      <c r="AI641" s="19">
        <v>315</v>
      </c>
      <c r="AJ641">
        <v>1</v>
      </c>
      <c r="AK641" s="19">
        <v>157</v>
      </c>
      <c r="AL641">
        <v>1</v>
      </c>
      <c r="AM641" s="19">
        <v>315</v>
      </c>
      <c r="AN641">
        <v>1</v>
      </c>
      <c r="AO641" s="19">
        <v>337</v>
      </c>
      <c r="AP641">
        <v>1</v>
      </c>
      <c r="AQ641" s="19">
        <v>562</v>
      </c>
    </row>
    <row r="642" spans="1:43" x14ac:dyDescent="0.35">
      <c r="A642" s="18">
        <v>45930</v>
      </c>
      <c r="B642" t="s">
        <v>56</v>
      </c>
      <c r="C642" t="s">
        <v>53</v>
      </c>
      <c r="D642">
        <v>6</v>
      </c>
      <c r="E642">
        <v>2</v>
      </c>
      <c r="F642">
        <v>4</v>
      </c>
      <c r="G642" s="19">
        <v>3013</v>
      </c>
      <c r="H642" s="19">
        <v>2328</v>
      </c>
      <c r="I642" s="19">
        <v>685</v>
      </c>
      <c r="J642" s="19">
        <v>243</v>
      </c>
      <c r="K642" s="19">
        <v>97</v>
      </c>
      <c r="L642" s="19">
        <v>833</v>
      </c>
      <c r="M642" s="19">
        <v>66</v>
      </c>
      <c r="N642" s="19">
        <v>49</v>
      </c>
      <c r="O642" s="19">
        <f t="shared" si="18"/>
        <v>1288</v>
      </c>
      <c r="P642" s="19">
        <f t="shared" si="19"/>
        <v>1725</v>
      </c>
      <c r="Q642" t="s">
        <v>23</v>
      </c>
      <c r="R642" t="s">
        <v>65</v>
      </c>
      <c r="T642">
        <v>1</v>
      </c>
      <c r="U642" s="19">
        <v>1506</v>
      </c>
      <c r="V642">
        <v>0</v>
      </c>
      <c r="W642" s="19">
        <v>0</v>
      </c>
      <c r="X642">
        <v>0</v>
      </c>
      <c r="Y642" s="19">
        <v>0</v>
      </c>
      <c r="Z642">
        <v>0</v>
      </c>
      <c r="AA642" s="19">
        <v>0</v>
      </c>
      <c r="AB642">
        <v>1</v>
      </c>
      <c r="AC642" s="19">
        <v>822</v>
      </c>
      <c r="AD642">
        <v>0</v>
      </c>
      <c r="AE642" s="19">
        <v>0</v>
      </c>
      <c r="AF642">
        <v>0</v>
      </c>
      <c r="AG642" s="19">
        <v>0</v>
      </c>
      <c r="AH642">
        <v>1</v>
      </c>
      <c r="AI642" s="19">
        <v>192</v>
      </c>
      <c r="AJ642">
        <v>1</v>
      </c>
      <c r="AK642" s="19">
        <v>96</v>
      </c>
      <c r="AL642">
        <v>1</v>
      </c>
      <c r="AM642" s="19">
        <v>192</v>
      </c>
      <c r="AN642">
        <v>1</v>
      </c>
      <c r="AO642" s="19">
        <v>205</v>
      </c>
      <c r="AP642">
        <v>0</v>
      </c>
      <c r="AQ642" s="19">
        <v>0</v>
      </c>
    </row>
    <row r="643" spans="1:43" x14ac:dyDescent="0.35">
      <c r="A643" s="18">
        <v>45931</v>
      </c>
      <c r="B643" t="s">
        <v>57</v>
      </c>
      <c r="C643" t="s">
        <v>53</v>
      </c>
      <c r="D643">
        <v>7</v>
      </c>
      <c r="E643">
        <v>2</v>
      </c>
      <c r="F643">
        <v>5</v>
      </c>
      <c r="G643" s="19">
        <v>3579</v>
      </c>
      <c r="H643" s="19">
        <v>2483</v>
      </c>
      <c r="I643" s="19">
        <v>1096</v>
      </c>
      <c r="J643" s="19">
        <v>235</v>
      </c>
      <c r="K643" s="19">
        <v>97</v>
      </c>
      <c r="L643" s="19">
        <v>806</v>
      </c>
      <c r="M643" s="19">
        <v>79</v>
      </c>
      <c r="N643" s="19">
        <v>57</v>
      </c>
      <c r="O643" s="19">
        <f t="shared" si="18"/>
        <v>1274</v>
      </c>
      <c r="P643" s="19">
        <f t="shared" si="19"/>
        <v>2305</v>
      </c>
      <c r="Q643" t="s">
        <v>23</v>
      </c>
      <c r="R643" t="s">
        <v>63</v>
      </c>
      <c r="T643">
        <v>1</v>
      </c>
      <c r="U643" s="19">
        <v>1607</v>
      </c>
      <c r="V643">
        <v>0</v>
      </c>
      <c r="W643" s="19">
        <v>0</v>
      </c>
      <c r="X643">
        <v>0</v>
      </c>
      <c r="Y643" s="19">
        <v>0</v>
      </c>
      <c r="Z643">
        <v>0</v>
      </c>
      <c r="AA643" s="19">
        <v>0</v>
      </c>
      <c r="AB643">
        <v>1</v>
      </c>
      <c r="AC643" s="19">
        <v>876</v>
      </c>
      <c r="AD643">
        <v>0</v>
      </c>
      <c r="AE643" s="19">
        <v>0</v>
      </c>
      <c r="AF643">
        <v>0</v>
      </c>
      <c r="AG643" s="19">
        <v>0</v>
      </c>
      <c r="AH643">
        <v>1</v>
      </c>
      <c r="AI643" s="19">
        <v>205</v>
      </c>
      <c r="AJ643">
        <v>1</v>
      </c>
      <c r="AK643" s="19">
        <v>102</v>
      </c>
      <c r="AL643">
        <v>1</v>
      </c>
      <c r="AM643" s="19">
        <v>205</v>
      </c>
      <c r="AN643">
        <v>1</v>
      </c>
      <c r="AO643" s="19">
        <v>219</v>
      </c>
      <c r="AP643">
        <v>1</v>
      </c>
      <c r="AQ643" s="19">
        <v>365</v>
      </c>
    </row>
    <row r="644" spans="1:43" x14ac:dyDescent="0.35">
      <c r="A644" s="18">
        <v>45932</v>
      </c>
      <c r="B644" t="s">
        <v>58</v>
      </c>
      <c r="C644" t="s">
        <v>53</v>
      </c>
      <c r="D644">
        <v>7</v>
      </c>
      <c r="E644">
        <v>2</v>
      </c>
      <c r="F644">
        <v>5</v>
      </c>
      <c r="G644" s="19">
        <v>3722</v>
      </c>
      <c r="H644" s="19">
        <v>2583</v>
      </c>
      <c r="I644" s="19">
        <v>1139</v>
      </c>
      <c r="J644" s="19">
        <v>235</v>
      </c>
      <c r="K644" s="19">
        <v>97</v>
      </c>
      <c r="L644" s="19">
        <v>806</v>
      </c>
      <c r="M644" s="19">
        <v>82</v>
      </c>
      <c r="N644" s="19">
        <v>57</v>
      </c>
      <c r="O644" s="19">
        <f t="shared" ref="O644:O707" si="20">SUM(J644:N644)</f>
        <v>1277</v>
      </c>
      <c r="P644" s="19">
        <f t="shared" ref="P644:P707" si="21">G644-O644</f>
        <v>2445</v>
      </c>
      <c r="Q644" t="s">
        <v>23</v>
      </c>
      <c r="R644" t="s">
        <v>63</v>
      </c>
      <c r="T644">
        <v>1</v>
      </c>
      <c r="U644" s="19">
        <v>1671</v>
      </c>
      <c r="V644">
        <v>0</v>
      </c>
      <c r="W644" s="19">
        <v>0</v>
      </c>
      <c r="X644">
        <v>0</v>
      </c>
      <c r="Y644" s="19">
        <v>0</v>
      </c>
      <c r="Z644">
        <v>0</v>
      </c>
      <c r="AA644" s="19">
        <v>0</v>
      </c>
      <c r="AB644">
        <v>1</v>
      </c>
      <c r="AC644" s="19">
        <v>912</v>
      </c>
      <c r="AD644">
        <v>0</v>
      </c>
      <c r="AE644" s="19">
        <v>0</v>
      </c>
      <c r="AF644">
        <v>0</v>
      </c>
      <c r="AG644" s="19">
        <v>0</v>
      </c>
      <c r="AH644">
        <v>1</v>
      </c>
      <c r="AI644" s="19">
        <v>213</v>
      </c>
      <c r="AJ644">
        <v>1</v>
      </c>
      <c r="AK644" s="19">
        <v>106</v>
      </c>
      <c r="AL644">
        <v>1</v>
      </c>
      <c r="AM644" s="19">
        <v>213</v>
      </c>
      <c r="AN644">
        <v>1</v>
      </c>
      <c r="AO644" s="19">
        <v>228</v>
      </c>
      <c r="AP644">
        <v>1</v>
      </c>
      <c r="AQ644" s="19">
        <v>380</v>
      </c>
    </row>
    <row r="645" spans="1:43" x14ac:dyDescent="0.35">
      <c r="A645" s="18">
        <v>45933</v>
      </c>
      <c r="B645" t="s">
        <v>59</v>
      </c>
      <c r="C645" t="s">
        <v>53</v>
      </c>
      <c r="D645">
        <v>8</v>
      </c>
      <c r="E645">
        <v>3</v>
      </c>
      <c r="F645">
        <v>5</v>
      </c>
      <c r="G645" s="19">
        <v>4130</v>
      </c>
      <c r="H645" s="19">
        <v>3177</v>
      </c>
      <c r="I645" s="19">
        <v>953</v>
      </c>
      <c r="J645" s="19">
        <v>235</v>
      </c>
      <c r="K645" s="19">
        <v>97</v>
      </c>
      <c r="L645" s="19">
        <v>806</v>
      </c>
      <c r="M645" s="19">
        <v>91</v>
      </c>
      <c r="N645" s="19">
        <v>65</v>
      </c>
      <c r="O645" s="19">
        <f t="shared" si="20"/>
        <v>1294</v>
      </c>
      <c r="P645" s="19">
        <f t="shared" si="21"/>
        <v>2836</v>
      </c>
      <c r="Q645" t="s">
        <v>23</v>
      </c>
      <c r="R645" t="s">
        <v>63</v>
      </c>
      <c r="T645">
        <v>1</v>
      </c>
      <c r="U645" s="19">
        <v>1398</v>
      </c>
      <c r="V645">
        <v>0</v>
      </c>
      <c r="W645" s="19">
        <v>0</v>
      </c>
      <c r="X645">
        <v>0</v>
      </c>
      <c r="Y645" s="19">
        <v>0</v>
      </c>
      <c r="Z645">
        <v>1</v>
      </c>
      <c r="AA645" s="19">
        <v>1017</v>
      </c>
      <c r="AB645">
        <v>1</v>
      </c>
      <c r="AC645" s="19">
        <v>762</v>
      </c>
      <c r="AD645">
        <v>0</v>
      </c>
      <c r="AE645" s="19">
        <v>0</v>
      </c>
      <c r="AF645">
        <v>0</v>
      </c>
      <c r="AG645" s="19">
        <v>0</v>
      </c>
      <c r="AH645">
        <v>1</v>
      </c>
      <c r="AI645" s="19">
        <v>178</v>
      </c>
      <c r="AJ645">
        <v>1</v>
      </c>
      <c r="AK645" s="19">
        <v>89</v>
      </c>
      <c r="AL645">
        <v>1</v>
      </c>
      <c r="AM645" s="19">
        <v>178</v>
      </c>
      <c r="AN645">
        <v>1</v>
      </c>
      <c r="AO645" s="19">
        <v>191</v>
      </c>
      <c r="AP645">
        <v>1</v>
      </c>
      <c r="AQ645" s="19">
        <v>318</v>
      </c>
    </row>
    <row r="646" spans="1:43" x14ac:dyDescent="0.35">
      <c r="A646" s="18">
        <v>45934</v>
      </c>
      <c r="B646" t="s">
        <v>60</v>
      </c>
      <c r="C646" t="s">
        <v>61</v>
      </c>
      <c r="D646">
        <v>9</v>
      </c>
      <c r="E646">
        <v>3</v>
      </c>
      <c r="F646">
        <v>6</v>
      </c>
      <c r="G646" s="19">
        <v>4490</v>
      </c>
      <c r="H646" s="19">
        <v>2641</v>
      </c>
      <c r="I646" s="19">
        <v>1849</v>
      </c>
      <c r="J646" s="19">
        <v>235</v>
      </c>
      <c r="K646" s="19">
        <v>97</v>
      </c>
      <c r="L646" s="19">
        <v>806</v>
      </c>
      <c r="M646" s="19">
        <v>99</v>
      </c>
      <c r="N646" s="19">
        <v>73</v>
      </c>
      <c r="O646" s="19">
        <f t="shared" si="20"/>
        <v>1310</v>
      </c>
      <c r="P646" s="19">
        <f t="shared" si="21"/>
        <v>3180</v>
      </c>
      <c r="Q646" t="s">
        <v>23</v>
      </c>
      <c r="R646" t="s">
        <v>63</v>
      </c>
      <c r="T646">
        <v>1</v>
      </c>
      <c r="U646" s="19">
        <v>1162</v>
      </c>
      <c r="V646">
        <v>0</v>
      </c>
      <c r="W646" s="19">
        <v>0</v>
      </c>
      <c r="X646">
        <v>0</v>
      </c>
      <c r="Y646" s="19">
        <v>0</v>
      </c>
      <c r="Z646">
        <v>1</v>
      </c>
      <c r="AA646" s="19">
        <v>845</v>
      </c>
      <c r="AB646">
        <v>1</v>
      </c>
      <c r="AC646" s="19">
        <v>634</v>
      </c>
      <c r="AD646">
        <v>1</v>
      </c>
      <c r="AE646" s="19">
        <v>1056</v>
      </c>
      <c r="AF646">
        <v>0</v>
      </c>
      <c r="AG646" s="19">
        <v>0</v>
      </c>
      <c r="AH646">
        <v>1</v>
      </c>
      <c r="AI646" s="19">
        <v>148</v>
      </c>
      <c r="AJ646">
        <v>1</v>
      </c>
      <c r="AK646" s="19">
        <v>74</v>
      </c>
      <c r="AL646">
        <v>1</v>
      </c>
      <c r="AM646" s="19">
        <v>148</v>
      </c>
      <c r="AN646">
        <v>1</v>
      </c>
      <c r="AO646" s="19">
        <v>158</v>
      </c>
      <c r="AP646">
        <v>1</v>
      </c>
      <c r="AQ646" s="19">
        <v>264</v>
      </c>
    </row>
    <row r="647" spans="1:43" x14ac:dyDescent="0.35">
      <c r="A647" s="18">
        <v>45935</v>
      </c>
      <c r="B647" t="s">
        <v>62</v>
      </c>
      <c r="C647" t="s">
        <v>61</v>
      </c>
      <c r="D647">
        <v>9</v>
      </c>
      <c r="E647">
        <v>4</v>
      </c>
      <c r="F647">
        <v>5</v>
      </c>
      <c r="G647" s="19">
        <v>4581</v>
      </c>
      <c r="H647" s="19">
        <v>3289</v>
      </c>
      <c r="I647" s="19">
        <v>1292</v>
      </c>
      <c r="J647" s="19">
        <v>235</v>
      </c>
      <c r="K647" s="19">
        <v>97</v>
      </c>
      <c r="L647" s="19">
        <v>806</v>
      </c>
      <c r="M647" s="19">
        <v>101</v>
      </c>
      <c r="N647" s="19">
        <v>73</v>
      </c>
      <c r="O647" s="19">
        <f t="shared" si="20"/>
        <v>1312</v>
      </c>
      <c r="P647" s="19">
        <f t="shared" si="21"/>
        <v>3269</v>
      </c>
      <c r="Q647" t="s">
        <v>23</v>
      </c>
      <c r="R647" t="s">
        <v>63</v>
      </c>
      <c r="T647">
        <v>1</v>
      </c>
      <c r="U647" s="19">
        <v>1894</v>
      </c>
      <c r="V647">
        <v>0</v>
      </c>
      <c r="W647" s="19">
        <v>0</v>
      </c>
      <c r="X647">
        <v>0</v>
      </c>
      <c r="Y647" s="19">
        <v>0</v>
      </c>
      <c r="Z647">
        <v>0</v>
      </c>
      <c r="AA647" s="19">
        <v>0</v>
      </c>
      <c r="AB647">
        <v>1</v>
      </c>
      <c r="AC647" s="19">
        <v>1033</v>
      </c>
      <c r="AD647">
        <v>0</v>
      </c>
      <c r="AE647" s="19">
        <v>0</v>
      </c>
      <c r="AF647">
        <v>0</v>
      </c>
      <c r="AG647" s="19">
        <v>0</v>
      </c>
      <c r="AH647">
        <v>2</v>
      </c>
      <c r="AI647" s="19">
        <v>482</v>
      </c>
      <c r="AJ647">
        <v>2</v>
      </c>
      <c r="AK647" s="19">
        <v>241</v>
      </c>
      <c r="AL647">
        <v>1</v>
      </c>
      <c r="AM647" s="19">
        <v>241</v>
      </c>
      <c r="AN647">
        <v>1</v>
      </c>
      <c r="AO647" s="19">
        <v>258</v>
      </c>
      <c r="AP647">
        <v>1</v>
      </c>
      <c r="AQ647" s="19">
        <v>431</v>
      </c>
    </row>
    <row r="648" spans="1:43" x14ac:dyDescent="0.35">
      <c r="A648" s="18">
        <v>45936</v>
      </c>
      <c r="B648" t="s">
        <v>52</v>
      </c>
      <c r="C648" t="s">
        <v>53</v>
      </c>
      <c r="D648">
        <v>7</v>
      </c>
      <c r="E648">
        <v>2</v>
      </c>
      <c r="F648">
        <v>5</v>
      </c>
      <c r="G648" s="19">
        <v>3555</v>
      </c>
      <c r="H648" s="19">
        <v>2467</v>
      </c>
      <c r="I648" s="19">
        <v>1088</v>
      </c>
      <c r="J648" s="19">
        <v>235</v>
      </c>
      <c r="K648" s="19">
        <v>97</v>
      </c>
      <c r="L648" s="19">
        <v>806</v>
      </c>
      <c r="M648" s="19">
        <v>78</v>
      </c>
      <c r="N648" s="19">
        <v>57</v>
      </c>
      <c r="O648" s="19">
        <f t="shared" si="20"/>
        <v>1273</v>
      </c>
      <c r="P648" s="19">
        <f t="shared" si="21"/>
        <v>2282</v>
      </c>
      <c r="Q648" t="s">
        <v>23</v>
      </c>
      <c r="R648" t="s">
        <v>63</v>
      </c>
      <c r="T648">
        <v>1</v>
      </c>
      <c r="U648" s="19">
        <v>1596</v>
      </c>
      <c r="V648">
        <v>0</v>
      </c>
      <c r="W648" s="19">
        <v>0</v>
      </c>
      <c r="X648">
        <v>0</v>
      </c>
      <c r="Y648" s="19">
        <v>0</v>
      </c>
      <c r="Z648">
        <v>0</v>
      </c>
      <c r="AA648" s="19">
        <v>0</v>
      </c>
      <c r="AB648">
        <v>1</v>
      </c>
      <c r="AC648" s="19">
        <v>871</v>
      </c>
      <c r="AD648">
        <v>0</v>
      </c>
      <c r="AE648" s="19">
        <v>0</v>
      </c>
      <c r="AF648">
        <v>0</v>
      </c>
      <c r="AG648" s="19">
        <v>0</v>
      </c>
      <c r="AH648">
        <v>1</v>
      </c>
      <c r="AI648" s="19">
        <v>203</v>
      </c>
      <c r="AJ648">
        <v>1</v>
      </c>
      <c r="AK648" s="19">
        <v>102</v>
      </c>
      <c r="AL648">
        <v>1</v>
      </c>
      <c r="AM648" s="19">
        <v>203</v>
      </c>
      <c r="AN648">
        <v>1</v>
      </c>
      <c r="AO648" s="19">
        <v>218</v>
      </c>
      <c r="AP648">
        <v>1</v>
      </c>
      <c r="AQ648" s="19">
        <v>363</v>
      </c>
    </row>
    <row r="649" spans="1:43" x14ac:dyDescent="0.35">
      <c r="A649" s="18">
        <v>45937</v>
      </c>
      <c r="B649" t="s">
        <v>56</v>
      </c>
      <c r="C649" t="s">
        <v>53</v>
      </c>
      <c r="D649">
        <v>7</v>
      </c>
      <c r="E649">
        <v>3</v>
      </c>
      <c r="F649">
        <v>4</v>
      </c>
      <c r="G649" s="19">
        <v>3850</v>
      </c>
      <c r="H649" s="19">
        <v>3208</v>
      </c>
      <c r="I649" s="19">
        <v>642</v>
      </c>
      <c r="J649" s="19">
        <v>235</v>
      </c>
      <c r="K649" s="19">
        <v>97</v>
      </c>
      <c r="L649" s="19">
        <v>806</v>
      </c>
      <c r="M649" s="19">
        <v>85</v>
      </c>
      <c r="N649" s="19">
        <v>57</v>
      </c>
      <c r="O649" s="19">
        <f t="shared" si="20"/>
        <v>1280</v>
      </c>
      <c r="P649" s="19">
        <f t="shared" si="21"/>
        <v>2570</v>
      </c>
      <c r="Q649" t="s">
        <v>23</v>
      </c>
      <c r="R649" t="s">
        <v>63</v>
      </c>
      <c r="T649">
        <v>1</v>
      </c>
      <c r="U649" s="19">
        <v>1412</v>
      </c>
      <c r="V649">
        <v>0</v>
      </c>
      <c r="W649" s="19">
        <v>0</v>
      </c>
      <c r="X649">
        <v>0</v>
      </c>
      <c r="Y649" s="19">
        <v>0</v>
      </c>
      <c r="Z649">
        <v>1</v>
      </c>
      <c r="AA649" s="19">
        <v>1027</v>
      </c>
      <c r="AB649">
        <v>1</v>
      </c>
      <c r="AC649" s="19">
        <v>770</v>
      </c>
      <c r="AD649">
        <v>0</v>
      </c>
      <c r="AE649" s="19">
        <v>0</v>
      </c>
      <c r="AF649">
        <v>0</v>
      </c>
      <c r="AG649" s="19">
        <v>0</v>
      </c>
      <c r="AH649">
        <v>1</v>
      </c>
      <c r="AI649" s="19">
        <v>180</v>
      </c>
      <c r="AJ649">
        <v>1</v>
      </c>
      <c r="AK649" s="19">
        <v>90</v>
      </c>
      <c r="AL649">
        <v>1</v>
      </c>
      <c r="AM649" s="19">
        <v>180</v>
      </c>
      <c r="AN649">
        <v>1</v>
      </c>
      <c r="AO649" s="19">
        <v>192</v>
      </c>
      <c r="AP649">
        <v>0</v>
      </c>
      <c r="AQ649" s="19">
        <v>0</v>
      </c>
    </row>
    <row r="650" spans="1:43" x14ac:dyDescent="0.35">
      <c r="A650" s="18">
        <v>45938</v>
      </c>
      <c r="B650" t="s">
        <v>57</v>
      </c>
      <c r="C650" t="s">
        <v>53</v>
      </c>
      <c r="D650">
        <v>7</v>
      </c>
      <c r="E650">
        <v>2</v>
      </c>
      <c r="F650">
        <v>5</v>
      </c>
      <c r="G650" s="19">
        <v>3643</v>
      </c>
      <c r="H650" s="19">
        <v>2528</v>
      </c>
      <c r="I650" s="19">
        <v>1115</v>
      </c>
      <c r="J650" s="19">
        <v>235</v>
      </c>
      <c r="K650" s="19">
        <v>97</v>
      </c>
      <c r="L650" s="19">
        <v>806</v>
      </c>
      <c r="M650" s="19">
        <v>80</v>
      </c>
      <c r="N650" s="19">
        <v>57</v>
      </c>
      <c r="O650" s="19">
        <f t="shared" si="20"/>
        <v>1275</v>
      </c>
      <c r="P650" s="19">
        <f t="shared" si="21"/>
        <v>2368</v>
      </c>
      <c r="Q650" t="s">
        <v>23</v>
      </c>
      <c r="R650" t="s">
        <v>63</v>
      </c>
      <c r="T650">
        <v>1</v>
      </c>
      <c r="U650" s="19">
        <v>1636</v>
      </c>
      <c r="V650">
        <v>0</v>
      </c>
      <c r="W650" s="19">
        <v>0</v>
      </c>
      <c r="X650">
        <v>0</v>
      </c>
      <c r="Y650" s="19">
        <v>0</v>
      </c>
      <c r="Z650">
        <v>0</v>
      </c>
      <c r="AA650" s="19">
        <v>0</v>
      </c>
      <c r="AB650">
        <v>1</v>
      </c>
      <c r="AC650" s="19">
        <v>892</v>
      </c>
      <c r="AD650">
        <v>0</v>
      </c>
      <c r="AE650" s="19">
        <v>0</v>
      </c>
      <c r="AF650">
        <v>0</v>
      </c>
      <c r="AG650" s="19">
        <v>0</v>
      </c>
      <c r="AH650">
        <v>1</v>
      </c>
      <c r="AI650" s="19">
        <v>208</v>
      </c>
      <c r="AJ650">
        <v>1</v>
      </c>
      <c r="AK650" s="19">
        <v>104</v>
      </c>
      <c r="AL650">
        <v>1</v>
      </c>
      <c r="AM650" s="19">
        <v>208</v>
      </c>
      <c r="AN650">
        <v>1</v>
      </c>
      <c r="AO650" s="19">
        <v>223</v>
      </c>
      <c r="AP650">
        <v>1</v>
      </c>
      <c r="AQ650" s="19">
        <v>372</v>
      </c>
    </row>
    <row r="651" spans="1:43" x14ac:dyDescent="0.35">
      <c r="A651" s="18">
        <v>45939</v>
      </c>
      <c r="B651" t="s">
        <v>58</v>
      </c>
      <c r="C651" t="s">
        <v>53</v>
      </c>
      <c r="D651">
        <v>7</v>
      </c>
      <c r="E651">
        <v>2</v>
      </c>
      <c r="F651">
        <v>5</v>
      </c>
      <c r="G651" s="19">
        <v>3563</v>
      </c>
      <c r="H651" s="19">
        <v>2472</v>
      </c>
      <c r="I651" s="19">
        <v>1091</v>
      </c>
      <c r="J651" s="19">
        <v>235</v>
      </c>
      <c r="K651" s="19">
        <v>97</v>
      </c>
      <c r="L651" s="19">
        <v>806</v>
      </c>
      <c r="M651" s="19">
        <v>79</v>
      </c>
      <c r="N651" s="19">
        <v>57</v>
      </c>
      <c r="O651" s="19">
        <f t="shared" si="20"/>
        <v>1274</v>
      </c>
      <c r="P651" s="19">
        <f t="shared" si="21"/>
        <v>2289</v>
      </c>
      <c r="Q651" t="s">
        <v>23</v>
      </c>
      <c r="R651" t="s">
        <v>63</v>
      </c>
      <c r="T651">
        <v>1</v>
      </c>
      <c r="U651" s="19">
        <v>1600</v>
      </c>
      <c r="V651">
        <v>0</v>
      </c>
      <c r="W651" s="19">
        <v>0</v>
      </c>
      <c r="X651">
        <v>0</v>
      </c>
      <c r="Y651" s="19">
        <v>0</v>
      </c>
      <c r="Z651">
        <v>0</v>
      </c>
      <c r="AA651" s="19">
        <v>0</v>
      </c>
      <c r="AB651">
        <v>1</v>
      </c>
      <c r="AC651" s="19">
        <v>873</v>
      </c>
      <c r="AD651">
        <v>0</v>
      </c>
      <c r="AE651" s="19">
        <v>0</v>
      </c>
      <c r="AF651">
        <v>0</v>
      </c>
      <c r="AG651" s="19">
        <v>0</v>
      </c>
      <c r="AH651">
        <v>1</v>
      </c>
      <c r="AI651" s="19">
        <v>204</v>
      </c>
      <c r="AJ651">
        <v>1</v>
      </c>
      <c r="AK651" s="19">
        <v>102</v>
      </c>
      <c r="AL651">
        <v>1</v>
      </c>
      <c r="AM651" s="19">
        <v>204</v>
      </c>
      <c r="AN651">
        <v>1</v>
      </c>
      <c r="AO651" s="19">
        <v>218</v>
      </c>
      <c r="AP651">
        <v>1</v>
      </c>
      <c r="AQ651" s="19">
        <v>364</v>
      </c>
    </row>
    <row r="652" spans="1:43" x14ac:dyDescent="0.35">
      <c r="A652" s="18">
        <v>45940</v>
      </c>
      <c r="B652" t="s">
        <v>59</v>
      </c>
      <c r="C652" t="s">
        <v>53</v>
      </c>
      <c r="D652">
        <v>8</v>
      </c>
      <c r="E652">
        <v>3</v>
      </c>
      <c r="F652">
        <v>5</v>
      </c>
      <c r="G652" s="19">
        <v>4242</v>
      </c>
      <c r="H652" s="19">
        <v>3263</v>
      </c>
      <c r="I652" s="19">
        <v>979</v>
      </c>
      <c r="J652" s="19">
        <v>235</v>
      </c>
      <c r="K652" s="19">
        <v>97</v>
      </c>
      <c r="L652" s="19">
        <v>806</v>
      </c>
      <c r="M652" s="19">
        <v>94</v>
      </c>
      <c r="N652" s="19">
        <v>65</v>
      </c>
      <c r="O652" s="19">
        <f t="shared" si="20"/>
        <v>1297</v>
      </c>
      <c r="P652" s="19">
        <f t="shared" si="21"/>
        <v>2945</v>
      </c>
      <c r="Q652" t="s">
        <v>23</v>
      </c>
      <c r="R652" t="s">
        <v>63</v>
      </c>
      <c r="T652">
        <v>1</v>
      </c>
      <c r="U652" s="19">
        <v>1436</v>
      </c>
      <c r="V652">
        <v>0</v>
      </c>
      <c r="W652" s="19">
        <v>0</v>
      </c>
      <c r="X652">
        <v>0</v>
      </c>
      <c r="Y652" s="19">
        <v>0</v>
      </c>
      <c r="Z652">
        <v>1</v>
      </c>
      <c r="AA652" s="19">
        <v>1044</v>
      </c>
      <c r="AB652">
        <v>1</v>
      </c>
      <c r="AC652" s="19">
        <v>783</v>
      </c>
      <c r="AD652">
        <v>0</v>
      </c>
      <c r="AE652" s="19">
        <v>0</v>
      </c>
      <c r="AF652">
        <v>0</v>
      </c>
      <c r="AG652" s="19">
        <v>0</v>
      </c>
      <c r="AH652">
        <v>1</v>
      </c>
      <c r="AI652" s="19">
        <v>183</v>
      </c>
      <c r="AJ652">
        <v>1</v>
      </c>
      <c r="AK652" s="19">
        <v>91</v>
      </c>
      <c r="AL652">
        <v>1</v>
      </c>
      <c r="AM652" s="19">
        <v>183</v>
      </c>
      <c r="AN652">
        <v>1</v>
      </c>
      <c r="AO652" s="19">
        <v>196</v>
      </c>
      <c r="AP652">
        <v>1</v>
      </c>
      <c r="AQ652" s="19">
        <v>326</v>
      </c>
    </row>
    <row r="653" spans="1:43" x14ac:dyDescent="0.35">
      <c r="A653" s="18">
        <v>45941</v>
      </c>
      <c r="B653" t="s">
        <v>60</v>
      </c>
      <c r="C653" t="s">
        <v>61</v>
      </c>
      <c r="D653">
        <v>9</v>
      </c>
      <c r="E653">
        <v>4</v>
      </c>
      <c r="F653">
        <v>5</v>
      </c>
      <c r="G653" s="19">
        <v>4853</v>
      </c>
      <c r="H653" s="19">
        <v>3779</v>
      </c>
      <c r="I653" s="19">
        <v>1074</v>
      </c>
      <c r="J653" s="19">
        <v>235</v>
      </c>
      <c r="K653" s="19">
        <v>97</v>
      </c>
      <c r="L653" s="19">
        <v>806</v>
      </c>
      <c r="M653" s="19">
        <v>107</v>
      </c>
      <c r="N653" s="19">
        <v>73</v>
      </c>
      <c r="O653" s="19">
        <f t="shared" si="20"/>
        <v>1318</v>
      </c>
      <c r="P653" s="19">
        <f t="shared" si="21"/>
        <v>3535</v>
      </c>
      <c r="Q653" t="s">
        <v>23</v>
      </c>
      <c r="R653" t="s">
        <v>63</v>
      </c>
      <c r="T653">
        <v>1</v>
      </c>
      <c r="U653" s="19">
        <v>1575</v>
      </c>
      <c r="V653">
        <v>0</v>
      </c>
      <c r="W653" s="19">
        <v>0</v>
      </c>
      <c r="X653">
        <v>0</v>
      </c>
      <c r="Y653" s="19">
        <v>0</v>
      </c>
      <c r="Z653">
        <v>1</v>
      </c>
      <c r="AA653" s="19">
        <v>1145</v>
      </c>
      <c r="AB653">
        <v>1</v>
      </c>
      <c r="AC653" s="19">
        <v>859</v>
      </c>
      <c r="AD653">
        <v>0</v>
      </c>
      <c r="AE653" s="19">
        <v>0</v>
      </c>
      <c r="AF653">
        <v>0</v>
      </c>
      <c r="AG653" s="19">
        <v>0</v>
      </c>
      <c r="AH653">
        <v>2</v>
      </c>
      <c r="AI653" s="19">
        <v>401</v>
      </c>
      <c r="AJ653">
        <v>1</v>
      </c>
      <c r="AK653" s="19">
        <v>100</v>
      </c>
      <c r="AL653">
        <v>1</v>
      </c>
      <c r="AM653" s="19">
        <v>200</v>
      </c>
      <c r="AN653">
        <v>1</v>
      </c>
      <c r="AO653" s="19">
        <v>215</v>
      </c>
      <c r="AP653">
        <v>1</v>
      </c>
      <c r="AQ653" s="19">
        <v>358</v>
      </c>
    </row>
    <row r="654" spans="1:43" x14ac:dyDescent="0.35">
      <c r="A654" s="18">
        <v>45942</v>
      </c>
      <c r="B654" t="s">
        <v>62</v>
      </c>
      <c r="C654" t="s">
        <v>61</v>
      </c>
      <c r="D654">
        <v>9</v>
      </c>
      <c r="E654">
        <v>4</v>
      </c>
      <c r="F654">
        <v>5</v>
      </c>
      <c r="G654" s="19">
        <v>4751</v>
      </c>
      <c r="H654" s="19">
        <v>3700</v>
      </c>
      <c r="I654" s="19">
        <v>1051</v>
      </c>
      <c r="J654" s="19">
        <v>235</v>
      </c>
      <c r="K654" s="19">
        <v>97</v>
      </c>
      <c r="L654" s="19">
        <v>806</v>
      </c>
      <c r="M654" s="19">
        <v>105</v>
      </c>
      <c r="N654" s="19">
        <v>73</v>
      </c>
      <c r="O654" s="19">
        <f t="shared" si="20"/>
        <v>1316</v>
      </c>
      <c r="P654" s="19">
        <f t="shared" si="21"/>
        <v>3435</v>
      </c>
      <c r="Q654" t="s">
        <v>23</v>
      </c>
      <c r="R654" t="s">
        <v>63</v>
      </c>
      <c r="T654">
        <v>1</v>
      </c>
      <c r="U654" s="19">
        <v>1542</v>
      </c>
      <c r="V654">
        <v>0</v>
      </c>
      <c r="W654" s="19">
        <v>0</v>
      </c>
      <c r="X654">
        <v>0</v>
      </c>
      <c r="Y654" s="19">
        <v>0</v>
      </c>
      <c r="Z654">
        <v>1</v>
      </c>
      <c r="AA654" s="19">
        <v>1121</v>
      </c>
      <c r="AB654">
        <v>1</v>
      </c>
      <c r="AC654" s="19">
        <v>841</v>
      </c>
      <c r="AD654">
        <v>0</v>
      </c>
      <c r="AE654" s="19">
        <v>0</v>
      </c>
      <c r="AF654">
        <v>0</v>
      </c>
      <c r="AG654" s="19">
        <v>0</v>
      </c>
      <c r="AH654">
        <v>2</v>
      </c>
      <c r="AI654" s="19">
        <v>392</v>
      </c>
      <c r="AJ654">
        <v>1</v>
      </c>
      <c r="AK654" s="19">
        <v>98</v>
      </c>
      <c r="AL654">
        <v>1</v>
      </c>
      <c r="AM654" s="19">
        <v>196</v>
      </c>
      <c r="AN654">
        <v>1</v>
      </c>
      <c r="AO654" s="19">
        <v>210</v>
      </c>
      <c r="AP654">
        <v>1</v>
      </c>
      <c r="AQ654" s="19">
        <v>350</v>
      </c>
    </row>
    <row r="655" spans="1:43" x14ac:dyDescent="0.35">
      <c r="A655" s="18">
        <v>45943</v>
      </c>
      <c r="B655" t="s">
        <v>52</v>
      </c>
      <c r="C655" t="s">
        <v>53</v>
      </c>
      <c r="D655">
        <v>6</v>
      </c>
      <c r="E655">
        <v>1</v>
      </c>
      <c r="F655">
        <v>5</v>
      </c>
      <c r="G655" s="19">
        <v>3414</v>
      </c>
      <c r="H655" s="19">
        <v>1517</v>
      </c>
      <c r="I655" s="19">
        <v>1897</v>
      </c>
      <c r="J655" s="19">
        <v>235</v>
      </c>
      <c r="K655" s="19">
        <v>97</v>
      </c>
      <c r="L655" s="19">
        <v>806</v>
      </c>
      <c r="M655" s="19">
        <v>75</v>
      </c>
      <c r="N655" s="19">
        <v>49</v>
      </c>
      <c r="O655" s="19">
        <f t="shared" si="20"/>
        <v>1262</v>
      </c>
      <c r="P655" s="19">
        <f t="shared" si="21"/>
        <v>2152</v>
      </c>
      <c r="Q655" t="s">
        <v>27</v>
      </c>
      <c r="R655" t="s">
        <v>63</v>
      </c>
      <c r="T655">
        <v>0</v>
      </c>
      <c r="U655" s="19">
        <v>0</v>
      </c>
      <c r="V655">
        <v>0</v>
      </c>
      <c r="W655" s="19">
        <v>0</v>
      </c>
      <c r="X655">
        <v>0</v>
      </c>
      <c r="Y655" s="19">
        <v>0</v>
      </c>
      <c r="Z655">
        <v>0</v>
      </c>
      <c r="AA655" s="19">
        <v>0</v>
      </c>
      <c r="AB655">
        <v>1</v>
      </c>
      <c r="AC655" s="19">
        <v>1517</v>
      </c>
      <c r="AD655">
        <v>0</v>
      </c>
      <c r="AE655" s="19">
        <v>0</v>
      </c>
      <c r="AF655">
        <v>0</v>
      </c>
      <c r="AG655" s="19">
        <v>0</v>
      </c>
      <c r="AH655">
        <v>1</v>
      </c>
      <c r="AI655" s="19">
        <v>354</v>
      </c>
      <c r="AJ655">
        <v>1</v>
      </c>
      <c r="AK655" s="19">
        <v>177</v>
      </c>
      <c r="AL655">
        <v>1</v>
      </c>
      <c r="AM655" s="19">
        <v>354</v>
      </c>
      <c r="AN655">
        <v>1</v>
      </c>
      <c r="AO655" s="19">
        <v>379</v>
      </c>
      <c r="AP655">
        <v>1</v>
      </c>
      <c r="AQ655" s="19">
        <v>632</v>
      </c>
    </row>
    <row r="656" spans="1:43" x14ac:dyDescent="0.35">
      <c r="A656" s="18">
        <v>45944</v>
      </c>
      <c r="B656" t="s">
        <v>56</v>
      </c>
      <c r="C656" t="s">
        <v>53</v>
      </c>
      <c r="D656">
        <v>7</v>
      </c>
      <c r="E656">
        <v>2</v>
      </c>
      <c r="F656">
        <v>5</v>
      </c>
      <c r="G656" s="19">
        <v>3757</v>
      </c>
      <c r="H656" s="19">
        <v>2607</v>
      </c>
      <c r="I656" s="19">
        <v>1150</v>
      </c>
      <c r="J656" s="19">
        <v>235</v>
      </c>
      <c r="K656" s="19">
        <v>97</v>
      </c>
      <c r="L656" s="19">
        <v>806</v>
      </c>
      <c r="M656" s="19">
        <v>83</v>
      </c>
      <c r="N656" s="19">
        <v>57</v>
      </c>
      <c r="O656" s="19">
        <f t="shared" si="20"/>
        <v>1278</v>
      </c>
      <c r="P656" s="19">
        <f t="shared" si="21"/>
        <v>2479</v>
      </c>
      <c r="Q656" t="s">
        <v>23</v>
      </c>
      <c r="R656" t="s">
        <v>63</v>
      </c>
      <c r="T656">
        <v>1</v>
      </c>
      <c r="U656" s="19">
        <v>1687</v>
      </c>
      <c r="V656">
        <v>0</v>
      </c>
      <c r="W656" s="19">
        <v>0</v>
      </c>
      <c r="X656">
        <v>0</v>
      </c>
      <c r="Y656" s="19">
        <v>0</v>
      </c>
      <c r="Z656">
        <v>0</v>
      </c>
      <c r="AA656" s="19">
        <v>0</v>
      </c>
      <c r="AB656">
        <v>1</v>
      </c>
      <c r="AC656" s="19">
        <v>920</v>
      </c>
      <c r="AD656">
        <v>0</v>
      </c>
      <c r="AE656" s="19">
        <v>0</v>
      </c>
      <c r="AF656">
        <v>0</v>
      </c>
      <c r="AG656" s="19">
        <v>0</v>
      </c>
      <c r="AH656">
        <v>1</v>
      </c>
      <c r="AI656" s="19">
        <v>215</v>
      </c>
      <c r="AJ656">
        <v>1</v>
      </c>
      <c r="AK656" s="19">
        <v>107</v>
      </c>
      <c r="AL656">
        <v>1</v>
      </c>
      <c r="AM656" s="19">
        <v>215</v>
      </c>
      <c r="AN656">
        <v>1</v>
      </c>
      <c r="AO656" s="19">
        <v>230</v>
      </c>
      <c r="AP656">
        <v>1</v>
      </c>
      <c r="AQ656" s="19">
        <v>383</v>
      </c>
    </row>
    <row r="657" spans="1:43" x14ac:dyDescent="0.35">
      <c r="A657" s="18">
        <v>45945</v>
      </c>
      <c r="B657" t="s">
        <v>57</v>
      </c>
      <c r="C657" t="s">
        <v>53</v>
      </c>
      <c r="D657">
        <v>7</v>
      </c>
      <c r="E657">
        <v>3</v>
      </c>
      <c r="F657">
        <v>4</v>
      </c>
      <c r="G657" s="19">
        <v>3938</v>
      </c>
      <c r="H657" s="19">
        <v>3282</v>
      </c>
      <c r="I657" s="19">
        <v>656</v>
      </c>
      <c r="J657" s="19">
        <v>235</v>
      </c>
      <c r="K657" s="19">
        <v>97</v>
      </c>
      <c r="L657" s="19">
        <v>806</v>
      </c>
      <c r="M657" s="19">
        <v>87</v>
      </c>
      <c r="N657" s="19">
        <v>57</v>
      </c>
      <c r="O657" s="19">
        <f t="shared" si="20"/>
        <v>1282</v>
      </c>
      <c r="P657" s="19">
        <f t="shared" si="21"/>
        <v>2656</v>
      </c>
      <c r="Q657" t="s">
        <v>23</v>
      </c>
      <c r="R657" t="s">
        <v>63</v>
      </c>
      <c r="T657">
        <v>1</v>
      </c>
      <c r="U657" s="19">
        <v>1444</v>
      </c>
      <c r="V657">
        <v>0</v>
      </c>
      <c r="W657" s="19">
        <v>0</v>
      </c>
      <c r="X657">
        <v>0</v>
      </c>
      <c r="Y657" s="19">
        <v>0</v>
      </c>
      <c r="Z657">
        <v>1</v>
      </c>
      <c r="AA657" s="19">
        <v>1050</v>
      </c>
      <c r="AB657">
        <v>1</v>
      </c>
      <c r="AC657" s="19">
        <v>788</v>
      </c>
      <c r="AD657">
        <v>0</v>
      </c>
      <c r="AE657" s="19">
        <v>0</v>
      </c>
      <c r="AF657">
        <v>0</v>
      </c>
      <c r="AG657" s="19">
        <v>0</v>
      </c>
      <c r="AH657">
        <v>1</v>
      </c>
      <c r="AI657" s="19">
        <v>184</v>
      </c>
      <c r="AJ657">
        <v>1</v>
      </c>
      <c r="AK657" s="19">
        <v>92</v>
      </c>
      <c r="AL657">
        <v>1</v>
      </c>
      <c r="AM657" s="19">
        <v>184</v>
      </c>
      <c r="AN657">
        <v>1</v>
      </c>
      <c r="AO657" s="19">
        <v>197</v>
      </c>
      <c r="AP657">
        <v>0</v>
      </c>
      <c r="AQ657" s="19">
        <v>0</v>
      </c>
    </row>
    <row r="658" spans="1:43" x14ac:dyDescent="0.35">
      <c r="A658" s="18">
        <v>45946</v>
      </c>
      <c r="B658" t="s">
        <v>58</v>
      </c>
      <c r="C658" t="s">
        <v>53</v>
      </c>
      <c r="D658">
        <v>7</v>
      </c>
      <c r="E658">
        <v>2</v>
      </c>
      <c r="F658">
        <v>5</v>
      </c>
      <c r="G658" s="19">
        <v>3890</v>
      </c>
      <c r="H658" s="19">
        <v>2699</v>
      </c>
      <c r="I658" s="19">
        <v>1191</v>
      </c>
      <c r="J658" s="19">
        <v>235</v>
      </c>
      <c r="K658" s="19">
        <v>97</v>
      </c>
      <c r="L658" s="19">
        <v>806</v>
      </c>
      <c r="M658" s="19">
        <v>86</v>
      </c>
      <c r="N658" s="19">
        <v>57</v>
      </c>
      <c r="O658" s="19">
        <f t="shared" si="20"/>
        <v>1281</v>
      </c>
      <c r="P658" s="19">
        <f t="shared" si="21"/>
        <v>2609</v>
      </c>
      <c r="Q658" t="s">
        <v>23</v>
      </c>
      <c r="R658" t="s">
        <v>63</v>
      </c>
      <c r="T658">
        <v>1</v>
      </c>
      <c r="U658" s="19">
        <v>1747</v>
      </c>
      <c r="V658">
        <v>0</v>
      </c>
      <c r="W658" s="19">
        <v>0</v>
      </c>
      <c r="X658">
        <v>0</v>
      </c>
      <c r="Y658" s="19">
        <v>0</v>
      </c>
      <c r="Z658">
        <v>0</v>
      </c>
      <c r="AA658" s="19">
        <v>0</v>
      </c>
      <c r="AB658">
        <v>1</v>
      </c>
      <c r="AC658" s="19">
        <v>953</v>
      </c>
      <c r="AD658">
        <v>0</v>
      </c>
      <c r="AE658" s="19">
        <v>0</v>
      </c>
      <c r="AF658">
        <v>0</v>
      </c>
      <c r="AG658" s="19">
        <v>0</v>
      </c>
      <c r="AH658">
        <v>1</v>
      </c>
      <c r="AI658" s="19">
        <v>222</v>
      </c>
      <c r="AJ658">
        <v>1</v>
      </c>
      <c r="AK658" s="19">
        <v>111</v>
      </c>
      <c r="AL658">
        <v>1</v>
      </c>
      <c r="AM658" s="19">
        <v>222</v>
      </c>
      <c r="AN658">
        <v>1</v>
      </c>
      <c r="AO658" s="19">
        <v>238</v>
      </c>
      <c r="AP658">
        <v>1</v>
      </c>
      <c r="AQ658" s="19">
        <v>397</v>
      </c>
    </row>
    <row r="659" spans="1:43" x14ac:dyDescent="0.35">
      <c r="A659" s="18">
        <v>45947</v>
      </c>
      <c r="B659" t="s">
        <v>59</v>
      </c>
      <c r="C659" t="s">
        <v>53</v>
      </c>
      <c r="D659">
        <v>8</v>
      </c>
      <c r="E659">
        <v>4</v>
      </c>
      <c r="F659">
        <v>4</v>
      </c>
      <c r="G659" s="19">
        <v>3996</v>
      </c>
      <c r="H659" s="19">
        <v>3360</v>
      </c>
      <c r="I659" s="19">
        <v>636</v>
      </c>
      <c r="J659" s="19">
        <v>235</v>
      </c>
      <c r="K659" s="19">
        <v>97</v>
      </c>
      <c r="L659" s="19">
        <v>806</v>
      </c>
      <c r="M659" s="19">
        <v>88</v>
      </c>
      <c r="N659" s="19">
        <v>65</v>
      </c>
      <c r="O659" s="19">
        <f t="shared" si="20"/>
        <v>1291</v>
      </c>
      <c r="P659" s="19">
        <f t="shared" si="21"/>
        <v>2705</v>
      </c>
      <c r="Q659" t="s">
        <v>23</v>
      </c>
      <c r="R659" t="s">
        <v>63</v>
      </c>
      <c r="T659">
        <v>1</v>
      </c>
      <c r="U659" s="19">
        <v>1400</v>
      </c>
      <c r="V659">
        <v>0</v>
      </c>
      <c r="W659" s="19">
        <v>0</v>
      </c>
      <c r="X659">
        <v>0</v>
      </c>
      <c r="Y659" s="19">
        <v>0</v>
      </c>
      <c r="Z659">
        <v>1</v>
      </c>
      <c r="AA659" s="19">
        <v>1018</v>
      </c>
      <c r="AB659">
        <v>1</v>
      </c>
      <c r="AC659" s="19">
        <v>764</v>
      </c>
      <c r="AD659">
        <v>0</v>
      </c>
      <c r="AE659" s="19">
        <v>0</v>
      </c>
      <c r="AF659">
        <v>0</v>
      </c>
      <c r="AG659" s="19">
        <v>0</v>
      </c>
      <c r="AH659">
        <v>2</v>
      </c>
      <c r="AI659" s="19">
        <v>356</v>
      </c>
      <c r="AJ659">
        <v>1</v>
      </c>
      <c r="AK659" s="19">
        <v>89</v>
      </c>
      <c r="AL659">
        <v>1</v>
      </c>
      <c r="AM659" s="19">
        <v>178</v>
      </c>
      <c r="AN659">
        <v>1</v>
      </c>
      <c r="AO659" s="19">
        <v>191</v>
      </c>
      <c r="AP659">
        <v>0</v>
      </c>
      <c r="AQ659" s="19">
        <v>0</v>
      </c>
    </row>
    <row r="660" spans="1:43" x14ac:dyDescent="0.35">
      <c r="A660" s="18">
        <v>45948</v>
      </c>
      <c r="B660" t="s">
        <v>60</v>
      </c>
      <c r="C660" t="s">
        <v>61</v>
      </c>
      <c r="D660">
        <v>9</v>
      </c>
      <c r="E660">
        <v>4</v>
      </c>
      <c r="F660">
        <v>5</v>
      </c>
      <c r="G660" s="19">
        <v>4765</v>
      </c>
      <c r="H660" s="19">
        <v>3711</v>
      </c>
      <c r="I660" s="19">
        <v>1054</v>
      </c>
      <c r="J660" s="19">
        <v>235</v>
      </c>
      <c r="K660" s="19">
        <v>97</v>
      </c>
      <c r="L660" s="19">
        <v>806</v>
      </c>
      <c r="M660" s="19">
        <v>105</v>
      </c>
      <c r="N660" s="19">
        <v>73</v>
      </c>
      <c r="O660" s="19">
        <f t="shared" si="20"/>
        <v>1316</v>
      </c>
      <c r="P660" s="19">
        <f t="shared" si="21"/>
        <v>3449</v>
      </c>
      <c r="Q660" t="s">
        <v>23</v>
      </c>
      <c r="R660" t="s">
        <v>63</v>
      </c>
      <c r="T660">
        <v>1</v>
      </c>
      <c r="U660" s="19">
        <v>1546</v>
      </c>
      <c r="V660">
        <v>0</v>
      </c>
      <c r="W660" s="19">
        <v>0</v>
      </c>
      <c r="X660">
        <v>0</v>
      </c>
      <c r="Y660" s="19">
        <v>0</v>
      </c>
      <c r="Z660">
        <v>1</v>
      </c>
      <c r="AA660" s="19">
        <v>1124</v>
      </c>
      <c r="AB660">
        <v>1</v>
      </c>
      <c r="AC660" s="19">
        <v>843</v>
      </c>
      <c r="AD660">
        <v>0</v>
      </c>
      <c r="AE660" s="19">
        <v>0</v>
      </c>
      <c r="AF660">
        <v>0</v>
      </c>
      <c r="AG660" s="19">
        <v>0</v>
      </c>
      <c r="AH660">
        <v>2</v>
      </c>
      <c r="AI660" s="19">
        <v>394</v>
      </c>
      <c r="AJ660">
        <v>1</v>
      </c>
      <c r="AK660" s="19">
        <v>98</v>
      </c>
      <c r="AL660">
        <v>1</v>
      </c>
      <c r="AM660" s="19">
        <v>197</v>
      </c>
      <c r="AN660">
        <v>1</v>
      </c>
      <c r="AO660" s="19">
        <v>211</v>
      </c>
      <c r="AP660">
        <v>1</v>
      </c>
      <c r="AQ660" s="19">
        <v>351</v>
      </c>
    </row>
    <row r="661" spans="1:43" x14ac:dyDescent="0.35">
      <c r="A661" s="18">
        <v>45949</v>
      </c>
      <c r="B661" t="s">
        <v>62</v>
      </c>
      <c r="C661" t="s">
        <v>61</v>
      </c>
      <c r="D661">
        <v>8</v>
      </c>
      <c r="E661">
        <v>2</v>
      </c>
      <c r="F661">
        <v>6</v>
      </c>
      <c r="G661" s="19">
        <v>4251</v>
      </c>
      <c r="H661" s="19">
        <v>2095</v>
      </c>
      <c r="I661" s="19">
        <v>2156</v>
      </c>
      <c r="J661" s="19">
        <v>235</v>
      </c>
      <c r="K661" s="19">
        <v>97</v>
      </c>
      <c r="L661" s="19">
        <v>806</v>
      </c>
      <c r="M661" s="19">
        <v>94</v>
      </c>
      <c r="N661" s="19">
        <v>65</v>
      </c>
      <c r="O661" s="19">
        <f t="shared" si="20"/>
        <v>1297</v>
      </c>
      <c r="P661" s="19">
        <f t="shared" si="21"/>
        <v>2954</v>
      </c>
      <c r="Q661" t="s">
        <v>23</v>
      </c>
      <c r="R661" t="s">
        <v>63</v>
      </c>
      <c r="T661">
        <v>1</v>
      </c>
      <c r="U661" s="19">
        <v>1355</v>
      </c>
      <c r="V661">
        <v>0</v>
      </c>
      <c r="W661" s="19">
        <v>0</v>
      </c>
      <c r="X661">
        <v>0</v>
      </c>
      <c r="Y661" s="19">
        <v>0</v>
      </c>
      <c r="Z661">
        <v>0</v>
      </c>
      <c r="AA661" s="19">
        <v>0</v>
      </c>
      <c r="AB661">
        <v>1</v>
      </c>
      <c r="AC661" s="19">
        <v>739</v>
      </c>
      <c r="AD661">
        <v>1</v>
      </c>
      <c r="AE661" s="19">
        <v>1232</v>
      </c>
      <c r="AF661">
        <v>0</v>
      </c>
      <c r="AG661" s="19">
        <v>0</v>
      </c>
      <c r="AH661">
        <v>1</v>
      </c>
      <c r="AI661" s="19">
        <v>172</v>
      </c>
      <c r="AJ661">
        <v>1</v>
      </c>
      <c r="AK661" s="19">
        <v>86</v>
      </c>
      <c r="AL661">
        <v>1</v>
      </c>
      <c r="AM661" s="19">
        <v>172</v>
      </c>
      <c r="AN661">
        <v>1</v>
      </c>
      <c r="AO661" s="19">
        <v>185</v>
      </c>
      <c r="AP661">
        <v>1</v>
      </c>
      <c r="AQ661" s="19">
        <v>308</v>
      </c>
    </row>
    <row r="662" spans="1:43" x14ac:dyDescent="0.35">
      <c r="A662" s="18">
        <v>45950</v>
      </c>
      <c r="B662" t="s">
        <v>52</v>
      </c>
      <c r="C662" t="s">
        <v>53</v>
      </c>
      <c r="D662">
        <v>7</v>
      </c>
      <c r="E662">
        <v>3</v>
      </c>
      <c r="F662">
        <v>4</v>
      </c>
      <c r="G662" s="19">
        <v>3626</v>
      </c>
      <c r="H662" s="19">
        <v>3022</v>
      </c>
      <c r="I662" s="19">
        <v>604</v>
      </c>
      <c r="J662" s="19">
        <v>235</v>
      </c>
      <c r="K662" s="19">
        <v>97</v>
      </c>
      <c r="L662" s="19">
        <v>806</v>
      </c>
      <c r="M662" s="19">
        <v>80</v>
      </c>
      <c r="N662" s="19">
        <v>57</v>
      </c>
      <c r="O662" s="19">
        <f t="shared" si="20"/>
        <v>1275</v>
      </c>
      <c r="P662" s="19">
        <f t="shared" si="21"/>
        <v>2351</v>
      </c>
      <c r="Q662" t="s">
        <v>23</v>
      </c>
      <c r="R662" t="s">
        <v>63</v>
      </c>
      <c r="T662">
        <v>1</v>
      </c>
      <c r="U662" s="19">
        <v>1330</v>
      </c>
      <c r="V662">
        <v>0</v>
      </c>
      <c r="W662" s="19">
        <v>0</v>
      </c>
      <c r="X662">
        <v>0</v>
      </c>
      <c r="Y662" s="19">
        <v>0</v>
      </c>
      <c r="Z662">
        <v>1</v>
      </c>
      <c r="AA662" s="19">
        <v>967</v>
      </c>
      <c r="AB662">
        <v>1</v>
      </c>
      <c r="AC662" s="19">
        <v>725</v>
      </c>
      <c r="AD662">
        <v>0</v>
      </c>
      <c r="AE662" s="19">
        <v>0</v>
      </c>
      <c r="AF662">
        <v>0</v>
      </c>
      <c r="AG662" s="19">
        <v>0</v>
      </c>
      <c r="AH662">
        <v>1</v>
      </c>
      <c r="AI662" s="19">
        <v>169</v>
      </c>
      <c r="AJ662">
        <v>1</v>
      </c>
      <c r="AK662" s="19">
        <v>85</v>
      </c>
      <c r="AL662">
        <v>1</v>
      </c>
      <c r="AM662" s="19">
        <v>169</v>
      </c>
      <c r="AN662">
        <v>1</v>
      </c>
      <c r="AO662" s="19">
        <v>181</v>
      </c>
      <c r="AP662">
        <v>0</v>
      </c>
      <c r="AQ662" s="19">
        <v>0</v>
      </c>
    </row>
    <row r="663" spans="1:43" x14ac:dyDescent="0.35">
      <c r="A663" s="18">
        <v>45951</v>
      </c>
      <c r="B663" t="s">
        <v>56</v>
      </c>
      <c r="C663" t="s">
        <v>53</v>
      </c>
      <c r="D663">
        <v>6</v>
      </c>
      <c r="E663">
        <v>2</v>
      </c>
      <c r="F663">
        <v>4</v>
      </c>
      <c r="G663" s="19">
        <v>3352</v>
      </c>
      <c r="H663" s="19">
        <v>2590</v>
      </c>
      <c r="I663" s="19">
        <v>762</v>
      </c>
      <c r="J663" s="19">
        <v>235</v>
      </c>
      <c r="K663" s="19">
        <v>97</v>
      </c>
      <c r="L663" s="19">
        <v>806</v>
      </c>
      <c r="M663" s="19">
        <v>74</v>
      </c>
      <c r="N663" s="19">
        <v>49</v>
      </c>
      <c r="O663" s="19">
        <f t="shared" si="20"/>
        <v>1261</v>
      </c>
      <c r="P663" s="19">
        <f t="shared" si="21"/>
        <v>2091</v>
      </c>
      <c r="Q663" t="s">
        <v>23</v>
      </c>
      <c r="R663" t="s">
        <v>63</v>
      </c>
      <c r="T663">
        <v>1</v>
      </c>
      <c r="U663" s="19">
        <v>1676</v>
      </c>
      <c r="V663">
        <v>0</v>
      </c>
      <c r="W663" s="19">
        <v>0</v>
      </c>
      <c r="X663">
        <v>0</v>
      </c>
      <c r="Y663" s="19">
        <v>0</v>
      </c>
      <c r="Z663">
        <v>0</v>
      </c>
      <c r="AA663" s="19">
        <v>0</v>
      </c>
      <c r="AB663">
        <v>1</v>
      </c>
      <c r="AC663" s="19">
        <v>914</v>
      </c>
      <c r="AD663">
        <v>0</v>
      </c>
      <c r="AE663" s="19">
        <v>0</v>
      </c>
      <c r="AF663">
        <v>0</v>
      </c>
      <c r="AG663" s="19">
        <v>0</v>
      </c>
      <c r="AH663">
        <v>1</v>
      </c>
      <c r="AI663" s="19">
        <v>213</v>
      </c>
      <c r="AJ663">
        <v>1</v>
      </c>
      <c r="AK663" s="19">
        <v>107</v>
      </c>
      <c r="AL663">
        <v>1</v>
      </c>
      <c r="AM663" s="19">
        <v>213</v>
      </c>
      <c r="AN663">
        <v>1</v>
      </c>
      <c r="AO663" s="19">
        <v>229</v>
      </c>
      <c r="AP663">
        <v>0</v>
      </c>
      <c r="AQ663" s="19">
        <v>0</v>
      </c>
    </row>
    <row r="664" spans="1:43" x14ac:dyDescent="0.35">
      <c r="A664" s="18">
        <v>45952</v>
      </c>
      <c r="B664" t="s">
        <v>57</v>
      </c>
      <c r="C664" t="s">
        <v>53</v>
      </c>
      <c r="D664">
        <v>7</v>
      </c>
      <c r="E664">
        <v>2</v>
      </c>
      <c r="F664">
        <v>5</v>
      </c>
      <c r="G664" s="19">
        <v>3564</v>
      </c>
      <c r="H664" s="19">
        <v>2473</v>
      </c>
      <c r="I664" s="19">
        <v>1091</v>
      </c>
      <c r="J664" s="19">
        <v>235</v>
      </c>
      <c r="K664" s="19">
        <v>97</v>
      </c>
      <c r="L664" s="19">
        <v>806</v>
      </c>
      <c r="M664" s="19">
        <v>79</v>
      </c>
      <c r="N664" s="19">
        <v>57</v>
      </c>
      <c r="O664" s="19">
        <f t="shared" si="20"/>
        <v>1274</v>
      </c>
      <c r="P664" s="19">
        <f t="shared" si="21"/>
        <v>2290</v>
      </c>
      <c r="Q664" t="s">
        <v>23</v>
      </c>
      <c r="R664" t="s">
        <v>63</v>
      </c>
      <c r="T664">
        <v>1</v>
      </c>
      <c r="U664" s="19">
        <v>1600</v>
      </c>
      <c r="V664">
        <v>0</v>
      </c>
      <c r="W664" s="19">
        <v>0</v>
      </c>
      <c r="X664">
        <v>0</v>
      </c>
      <c r="Y664" s="19">
        <v>0</v>
      </c>
      <c r="Z664">
        <v>0</v>
      </c>
      <c r="AA664" s="19">
        <v>0</v>
      </c>
      <c r="AB664">
        <v>1</v>
      </c>
      <c r="AC664" s="19">
        <v>873</v>
      </c>
      <c r="AD664">
        <v>0</v>
      </c>
      <c r="AE664" s="19">
        <v>0</v>
      </c>
      <c r="AF664">
        <v>0</v>
      </c>
      <c r="AG664" s="19">
        <v>0</v>
      </c>
      <c r="AH664">
        <v>1</v>
      </c>
      <c r="AI664" s="19">
        <v>204</v>
      </c>
      <c r="AJ664">
        <v>1</v>
      </c>
      <c r="AK664" s="19">
        <v>102</v>
      </c>
      <c r="AL664">
        <v>1</v>
      </c>
      <c r="AM664" s="19">
        <v>204</v>
      </c>
      <c r="AN664">
        <v>1</v>
      </c>
      <c r="AO664" s="19">
        <v>218</v>
      </c>
      <c r="AP664">
        <v>1</v>
      </c>
      <c r="AQ664" s="19">
        <v>364</v>
      </c>
    </row>
    <row r="665" spans="1:43" x14ac:dyDescent="0.35">
      <c r="A665" s="18">
        <v>45953</v>
      </c>
      <c r="B665" t="s">
        <v>58</v>
      </c>
      <c r="C665" t="s">
        <v>53</v>
      </c>
      <c r="D665">
        <v>7</v>
      </c>
      <c r="E665">
        <v>2</v>
      </c>
      <c r="F665">
        <v>5</v>
      </c>
      <c r="G665" s="19">
        <v>3633</v>
      </c>
      <c r="H665" s="19">
        <v>2521</v>
      </c>
      <c r="I665" s="19">
        <v>1112</v>
      </c>
      <c r="J665" s="19">
        <v>235</v>
      </c>
      <c r="K665" s="19">
        <v>97</v>
      </c>
      <c r="L665" s="19">
        <v>806</v>
      </c>
      <c r="M665" s="19">
        <v>80</v>
      </c>
      <c r="N665" s="19">
        <v>57</v>
      </c>
      <c r="O665" s="19">
        <f t="shared" si="20"/>
        <v>1275</v>
      </c>
      <c r="P665" s="19">
        <f t="shared" si="21"/>
        <v>2358</v>
      </c>
      <c r="Q665" t="s">
        <v>23</v>
      </c>
      <c r="R665" t="s">
        <v>63</v>
      </c>
      <c r="T665">
        <v>1</v>
      </c>
      <c r="U665" s="19">
        <v>1631</v>
      </c>
      <c r="V665">
        <v>0</v>
      </c>
      <c r="W665" s="19">
        <v>0</v>
      </c>
      <c r="X665">
        <v>0</v>
      </c>
      <c r="Y665" s="19">
        <v>0</v>
      </c>
      <c r="Z665">
        <v>0</v>
      </c>
      <c r="AA665" s="19">
        <v>0</v>
      </c>
      <c r="AB665">
        <v>1</v>
      </c>
      <c r="AC665" s="19">
        <v>890</v>
      </c>
      <c r="AD665">
        <v>0</v>
      </c>
      <c r="AE665" s="19">
        <v>0</v>
      </c>
      <c r="AF665">
        <v>0</v>
      </c>
      <c r="AG665" s="19">
        <v>0</v>
      </c>
      <c r="AH665">
        <v>1</v>
      </c>
      <c r="AI665" s="19">
        <v>208</v>
      </c>
      <c r="AJ665">
        <v>1</v>
      </c>
      <c r="AK665" s="19">
        <v>104</v>
      </c>
      <c r="AL665">
        <v>1</v>
      </c>
      <c r="AM665" s="19">
        <v>208</v>
      </c>
      <c r="AN665">
        <v>1</v>
      </c>
      <c r="AO665" s="19">
        <v>222</v>
      </c>
      <c r="AP665">
        <v>1</v>
      </c>
      <c r="AQ665" s="19">
        <v>371</v>
      </c>
    </row>
    <row r="666" spans="1:43" x14ac:dyDescent="0.35">
      <c r="A666" s="18">
        <v>45954</v>
      </c>
      <c r="B666" t="s">
        <v>59</v>
      </c>
      <c r="C666" t="s">
        <v>53</v>
      </c>
      <c r="D666">
        <v>8</v>
      </c>
      <c r="E666">
        <v>3</v>
      </c>
      <c r="F666">
        <v>5</v>
      </c>
      <c r="G666" s="19">
        <v>4214</v>
      </c>
      <c r="H666" s="19">
        <v>2994</v>
      </c>
      <c r="I666" s="19">
        <v>1220</v>
      </c>
      <c r="J666" s="19">
        <v>235</v>
      </c>
      <c r="K666" s="19">
        <v>97</v>
      </c>
      <c r="L666" s="19">
        <v>806</v>
      </c>
      <c r="M666" s="19">
        <v>93</v>
      </c>
      <c r="N666" s="19">
        <v>65</v>
      </c>
      <c r="O666" s="19">
        <f t="shared" si="20"/>
        <v>1296</v>
      </c>
      <c r="P666" s="19">
        <f t="shared" si="21"/>
        <v>2918</v>
      </c>
      <c r="Q666" t="s">
        <v>23</v>
      </c>
      <c r="R666" t="s">
        <v>63</v>
      </c>
      <c r="T666">
        <v>1</v>
      </c>
      <c r="U666" s="19">
        <v>1790</v>
      </c>
      <c r="V666">
        <v>0</v>
      </c>
      <c r="W666" s="19">
        <v>0</v>
      </c>
      <c r="X666">
        <v>0</v>
      </c>
      <c r="Y666" s="19">
        <v>0</v>
      </c>
      <c r="Z666">
        <v>0</v>
      </c>
      <c r="AA666" s="19">
        <v>0</v>
      </c>
      <c r="AB666">
        <v>1</v>
      </c>
      <c r="AC666" s="19">
        <v>976</v>
      </c>
      <c r="AD666">
        <v>0</v>
      </c>
      <c r="AE666" s="19">
        <v>0</v>
      </c>
      <c r="AF666">
        <v>0</v>
      </c>
      <c r="AG666" s="19">
        <v>0</v>
      </c>
      <c r="AH666">
        <v>2</v>
      </c>
      <c r="AI666" s="19">
        <v>456</v>
      </c>
      <c r="AJ666">
        <v>1</v>
      </c>
      <c r="AK666" s="19">
        <v>114</v>
      </c>
      <c r="AL666">
        <v>1</v>
      </c>
      <c r="AM666" s="19">
        <v>228</v>
      </c>
      <c r="AN666">
        <v>1</v>
      </c>
      <c r="AO666" s="19">
        <v>244</v>
      </c>
      <c r="AP666">
        <v>1</v>
      </c>
      <c r="AQ666" s="19">
        <v>407</v>
      </c>
    </row>
    <row r="667" spans="1:43" x14ac:dyDescent="0.35">
      <c r="A667" s="18">
        <v>45955</v>
      </c>
      <c r="B667" t="s">
        <v>60</v>
      </c>
      <c r="C667" t="s">
        <v>61</v>
      </c>
      <c r="D667">
        <v>9</v>
      </c>
      <c r="E667">
        <v>4</v>
      </c>
      <c r="F667">
        <v>5</v>
      </c>
      <c r="G667" s="19">
        <v>4537</v>
      </c>
      <c r="H667" s="19">
        <v>3533</v>
      </c>
      <c r="I667" s="19">
        <v>1004</v>
      </c>
      <c r="J667" s="19">
        <v>235</v>
      </c>
      <c r="K667" s="19">
        <v>97</v>
      </c>
      <c r="L667" s="19">
        <v>806</v>
      </c>
      <c r="M667" s="19">
        <v>100</v>
      </c>
      <c r="N667" s="19">
        <v>73</v>
      </c>
      <c r="O667" s="19">
        <f t="shared" si="20"/>
        <v>1311</v>
      </c>
      <c r="P667" s="19">
        <f t="shared" si="21"/>
        <v>3226</v>
      </c>
      <c r="Q667" t="s">
        <v>23</v>
      </c>
      <c r="R667" t="s">
        <v>63</v>
      </c>
      <c r="T667">
        <v>1</v>
      </c>
      <c r="U667" s="19">
        <v>1472</v>
      </c>
      <c r="V667">
        <v>0</v>
      </c>
      <c r="W667" s="19">
        <v>0</v>
      </c>
      <c r="X667">
        <v>0</v>
      </c>
      <c r="Y667" s="19">
        <v>0</v>
      </c>
      <c r="Z667">
        <v>1</v>
      </c>
      <c r="AA667" s="19">
        <v>1071</v>
      </c>
      <c r="AB667">
        <v>1</v>
      </c>
      <c r="AC667" s="19">
        <v>803</v>
      </c>
      <c r="AD667">
        <v>0</v>
      </c>
      <c r="AE667" s="19">
        <v>0</v>
      </c>
      <c r="AF667">
        <v>0</v>
      </c>
      <c r="AG667" s="19">
        <v>0</v>
      </c>
      <c r="AH667">
        <v>2</v>
      </c>
      <c r="AI667" s="19">
        <v>375</v>
      </c>
      <c r="AJ667">
        <v>1</v>
      </c>
      <c r="AK667" s="19">
        <v>94</v>
      </c>
      <c r="AL667">
        <v>1</v>
      </c>
      <c r="AM667" s="19">
        <v>187</v>
      </c>
      <c r="AN667">
        <v>1</v>
      </c>
      <c r="AO667" s="19">
        <v>201</v>
      </c>
      <c r="AP667">
        <v>1</v>
      </c>
      <c r="AQ667" s="19">
        <v>335</v>
      </c>
    </row>
    <row r="668" spans="1:43" x14ac:dyDescent="0.35">
      <c r="A668" s="18">
        <v>45956</v>
      </c>
      <c r="B668" t="s">
        <v>62</v>
      </c>
      <c r="C668" t="s">
        <v>61</v>
      </c>
      <c r="D668">
        <v>9</v>
      </c>
      <c r="E668">
        <v>4</v>
      </c>
      <c r="F668">
        <v>5</v>
      </c>
      <c r="G668" s="19">
        <v>4593</v>
      </c>
      <c r="H668" s="19">
        <v>3577</v>
      </c>
      <c r="I668" s="19">
        <v>1016</v>
      </c>
      <c r="J668" s="19">
        <v>235</v>
      </c>
      <c r="K668" s="19">
        <v>97</v>
      </c>
      <c r="L668" s="19">
        <v>806</v>
      </c>
      <c r="M668" s="19">
        <v>101</v>
      </c>
      <c r="N668" s="19">
        <v>73</v>
      </c>
      <c r="O668" s="19">
        <f t="shared" si="20"/>
        <v>1312</v>
      </c>
      <c r="P668" s="19">
        <f t="shared" si="21"/>
        <v>3281</v>
      </c>
      <c r="Q668" t="s">
        <v>23</v>
      </c>
      <c r="R668" t="s">
        <v>63</v>
      </c>
      <c r="T668">
        <v>1</v>
      </c>
      <c r="U668" s="19">
        <v>1490</v>
      </c>
      <c r="V668">
        <v>0</v>
      </c>
      <c r="W668" s="19">
        <v>0</v>
      </c>
      <c r="X668">
        <v>0</v>
      </c>
      <c r="Y668" s="19">
        <v>0</v>
      </c>
      <c r="Z668">
        <v>1</v>
      </c>
      <c r="AA668" s="19">
        <v>1084</v>
      </c>
      <c r="AB668">
        <v>1</v>
      </c>
      <c r="AC668" s="19">
        <v>813</v>
      </c>
      <c r="AD668">
        <v>0</v>
      </c>
      <c r="AE668" s="19">
        <v>0</v>
      </c>
      <c r="AF668">
        <v>0</v>
      </c>
      <c r="AG668" s="19">
        <v>0</v>
      </c>
      <c r="AH668">
        <v>2</v>
      </c>
      <c r="AI668" s="19">
        <v>379</v>
      </c>
      <c r="AJ668">
        <v>1</v>
      </c>
      <c r="AK668" s="19">
        <v>95</v>
      </c>
      <c r="AL668">
        <v>1</v>
      </c>
      <c r="AM668" s="19">
        <v>190</v>
      </c>
      <c r="AN668">
        <v>1</v>
      </c>
      <c r="AO668" s="19">
        <v>203</v>
      </c>
      <c r="AP668">
        <v>1</v>
      </c>
      <c r="AQ668" s="19">
        <v>339</v>
      </c>
    </row>
    <row r="669" spans="1:43" x14ac:dyDescent="0.35">
      <c r="A669" s="18">
        <v>45957</v>
      </c>
      <c r="B669" t="s">
        <v>52</v>
      </c>
      <c r="C669" t="s">
        <v>53</v>
      </c>
      <c r="D669">
        <v>6</v>
      </c>
      <c r="E669">
        <v>2</v>
      </c>
      <c r="F669">
        <v>4</v>
      </c>
      <c r="G669" s="19">
        <v>3288</v>
      </c>
      <c r="H669" s="19">
        <v>2541</v>
      </c>
      <c r="I669" s="19">
        <v>747</v>
      </c>
      <c r="J669" s="19">
        <v>235</v>
      </c>
      <c r="K669" s="19">
        <v>97</v>
      </c>
      <c r="L669" s="19">
        <v>806</v>
      </c>
      <c r="M669" s="19">
        <v>73</v>
      </c>
      <c r="N669" s="19">
        <v>49</v>
      </c>
      <c r="O669" s="19">
        <f t="shared" si="20"/>
        <v>1260</v>
      </c>
      <c r="P669" s="19">
        <f t="shared" si="21"/>
        <v>2028</v>
      </c>
      <c r="Q669" t="s">
        <v>23</v>
      </c>
      <c r="R669" t="s">
        <v>63</v>
      </c>
      <c r="T669">
        <v>1</v>
      </c>
      <c r="U669" s="19">
        <v>1644</v>
      </c>
      <c r="V669">
        <v>0</v>
      </c>
      <c r="W669" s="19">
        <v>0</v>
      </c>
      <c r="X669">
        <v>0</v>
      </c>
      <c r="Y669" s="19">
        <v>0</v>
      </c>
      <c r="Z669">
        <v>0</v>
      </c>
      <c r="AA669" s="19">
        <v>0</v>
      </c>
      <c r="AB669">
        <v>1</v>
      </c>
      <c r="AC669" s="19">
        <v>897</v>
      </c>
      <c r="AD669">
        <v>0</v>
      </c>
      <c r="AE669" s="19">
        <v>0</v>
      </c>
      <c r="AF669">
        <v>0</v>
      </c>
      <c r="AG669" s="19">
        <v>0</v>
      </c>
      <c r="AH669">
        <v>1</v>
      </c>
      <c r="AI669" s="19">
        <v>209</v>
      </c>
      <c r="AJ669">
        <v>1</v>
      </c>
      <c r="AK669" s="19">
        <v>105</v>
      </c>
      <c r="AL669">
        <v>1</v>
      </c>
      <c r="AM669" s="19">
        <v>209</v>
      </c>
      <c r="AN669">
        <v>1</v>
      </c>
      <c r="AO669" s="19">
        <v>224</v>
      </c>
      <c r="AP669">
        <v>0</v>
      </c>
      <c r="AQ669" s="19">
        <v>0</v>
      </c>
    </row>
    <row r="670" spans="1:43" x14ac:dyDescent="0.35">
      <c r="A670" s="18">
        <v>45958</v>
      </c>
      <c r="B670" t="s">
        <v>56</v>
      </c>
      <c r="C670" t="s">
        <v>53</v>
      </c>
      <c r="D670">
        <v>7</v>
      </c>
      <c r="E670">
        <v>2</v>
      </c>
      <c r="F670">
        <v>5</v>
      </c>
      <c r="G670" s="19">
        <v>3789</v>
      </c>
      <c r="H670" s="19">
        <v>2629</v>
      </c>
      <c r="I670" s="19">
        <v>1160</v>
      </c>
      <c r="J670" s="19">
        <v>235</v>
      </c>
      <c r="K670" s="19">
        <v>97</v>
      </c>
      <c r="L670" s="19">
        <v>806</v>
      </c>
      <c r="M670" s="19">
        <v>84</v>
      </c>
      <c r="N670" s="19">
        <v>57</v>
      </c>
      <c r="O670" s="19">
        <f t="shared" si="20"/>
        <v>1279</v>
      </c>
      <c r="P670" s="19">
        <f t="shared" si="21"/>
        <v>2510</v>
      </c>
      <c r="Q670" t="s">
        <v>23</v>
      </c>
      <c r="R670" t="s">
        <v>63</v>
      </c>
      <c r="T670">
        <v>1</v>
      </c>
      <c r="U670" s="19">
        <v>1701</v>
      </c>
      <c r="V670">
        <v>0</v>
      </c>
      <c r="W670" s="19">
        <v>0</v>
      </c>
      <c r="X670">
        <v>0</v>
      </c>
      <c r="Y670" s="19">
        <v>0</v>
      </c>
      <c r="Z670">
        <v>0</v>
      </c>
      <c r="AA670" s="19">
        <v>0</v>
      </c>
      <c r="AB670">
        <v>1</v>
      </c>
      <c r="AC670" s="19">
        <v>928</v>
      </c>
      <c r="AD670">
        <v>0</v>
      </c>
      <c r="AE670" s="19">
        <v>0</v>
      </c>
      <c r="AF670">
        <v>0</v>
      </c>
      <c r="AG670" s="19">
        <v>0</v>
      </c>
      <c r="AH670">
        <v>1</v>
      </c>
      <c r="AI670" s="19">
        <v>217</v>
      </c>
      <c r="AJ670">
        <v>1</v>
      </c>
      <c r="AK670" s="19">
        <v>108</v>
      </c>
      <c r="AL670">
        <v>1</v>
      </c>
      <c r="AM670" s="19">
        <v>217</v>
      </c>
      <c r="AN670">
        <v>1</v>
      </c>
      <c r="AO670" s="19">
        <v>232</v>
      </c>
      <c r="AP670">
        <v>1</v>
      </c>
      <c r="AQ670" s="19">
        <v>387</v>
      </c>
    </row>
    <row r="671" spans="1:43" x14ac:dyDescent="0.35">
      <c r="A671" s="18">
        <v>45959</v>
      </c>
      <c r="B671" t="s">
        <v>57</v>
      </c>
      <c r="C671" t="s">
        <v>53</v>
      </c>
      <c r="D671">
        <v>7</v>
      </c>
      <c r="E671">
        <v>2</v>
      </c>
      <c r="F671">
        <v>5</v>
      </c>
      <c r="G671" s="19">
        <v>3794</v>
      </c>
      <c r="H671" s="19">
        <v>2633</v>
      </c>
      <c r="I671" s="19">
        <v>1161</v>
      </c>
      <c r="J671" s="19">
        <v>235</v>
      </c>
      <c r="K671" s="19">
        <v>97</v>
      </c>
      <c r="L671" s="19">
        <v>806</v>
      </c>
      <c r="M671" s="19">
        <v>84</v>
      </c>
      <c r="N671" s="19">
        <v>57</v>
      </c>
      <c r="O671" s="19">
        <f t="shared" si="20"/>
        <v>1279</v>
      </c>
      <c r="P671" s="19">
        <f t="shared" si="21"/>
        <v>2515</v>
      </c>
      <c r="Q671" t="s">
        <v>23</v>
      </c>
      <c r="R671" t="s">
        <v>63</v>
      </c>
      <c r="T671">
        <v>1</v>
      </c>
      <c r="U671" s="19">
        <v>1703</v>
      </c>
      <c r="V671">
        <v>0</v>
      </c>
      <c r="W671" s="19">
        <v>0</v>
      </c>
      <c r="X671">
        <v>0</v>
      </c>
      <c r="Y671" s="19">
        <v>0</v>
      </c>
      <c r="Z671">
        <v>0</v>
      </c>
      <c r="AA671" s="19">
        <v>0</v>
      </c>
      <c r="AB671">
        <v>1</v>
      </c>
      <c r="AC671" s="19">
        <v>929</v>
      </c>
      <c r="AD671">
        <v>0</v>
      </c>
      <c r="AE671" s="19">
        <v>0</v>
      </c>
      <c r="AF671">
        <v>0</v>
      </c>
      <c r="AG671" s="19">
        <v>0</v>
      </c>
      <c r="AH671">
        <v>1</v>
      </c>
      <c r="AI671" s="19">
        <v>217</v>
      </c>
      <c r="AJ671">
        <v>1</v>
      </c>
      <c r="AK671" s="19">
        <v>108</v>
      </c>
      <c r="AL671">
        <v>1</v>
      </c>
      <c r="AM671" s="19">
        <v>217</v>
      </c>
      <c r="AN671">
        <v>1</v>
      </c>
      <c r="AO671" s="19">
        <v>232</v>
      </c>
      <c r="AP671">
        <v>1</v>
      </c>
      <c r="AQ671" s="19">
        <v>387</v>
      </c>
    </row>
    <row r="672" spans="1:43" x14ac:dyDescent="0.35">
      <c r="A672" s="18">
        <v>45960</v>
      </c>
      <c r="B672" t="s">
        <v>58</v>
      </c>
      <c r="C672" t="s">
        <v>53</v>
      </c>
      <c r="D672">
        <v>7</v>
      </c>
      <c r="E672">
        <v>3</v>
      </c>
      <c r="F672">
        <v>4</v>
      </c>
      <c r="G672" s="19">
        <v>3733</v>
      </c>
      <c r="H672" s="19">
        <v>3111</v>
      </c>
      <c r="I672" s="19">
        <v>622</v>
      </c>
      <c r="J672" s="19">
        <v>235</v>
      </c>
      <c r="K672" s="19">
        <v>97</v>
      </c>
      <c r="L672" s="19">
        <v>806</v>
      </c>
      <c r="M672" s="19">
        <v>82</v>
      </c>
      <c r="N672" s="19">
        <v>57</v>
      </c>
      <c r="O672" s="19">
        <f t="shared" si="20"/>
        <v>1277</v>
      </c>
      <c r="P672" s="19">
        <f t="shared" si="21"/>
        <v>2456</v>
      </c>
      <c r="Q672" t="s">
        <v>23</v>
      </c>
      <c r="R672" t="s">
        <v>63</v>
      </c>
      <c r="T672">
        <v>1</v>
      </c>
      <c r="U672" s="19">
        <v>1369</v>
      </c>
      <c r="V672">
        <v>0</v>
      </c>
      <c r="W672" s="19">
        <v>0</v>
      </c>
      <c r="X672">
        <v>0</v>
      </c>
      <c r="Y672" s="19">
        <v>0</v>
      </c>
      <c r="Z672">
        <v>1</v>
      </c>
      <c r="AA672" s="19">
        <v>995</v>
      </c>
      <c r="AB672">
        <v>1</v>
      </c>
      <c r="AC672" s="19">
        <v>747</v>
      </c>
      <c r="AD672">
        <v>0</v>
      </c>
      <c r="AE672" s="19">
        <v>0</v>
      </c>
      <c r="AF672">
        <v>0</v>
      </c>
      <c r="AG672" s="19">
        <v>0</v>
      </c>
      <c r="AH672">
        <v>1</v>
      </c>
      <c r="AI672" s="19">
        <v>174</v>
      </c>
      <c r="AJ672">
        <v>1</v>
      </c>
      <c r="AK672" s="19">
        <v>87</v>
      </c>
      <c r="AL672">
        <v>1</v>
      </c>
      <c r="AM672" s="19">
        <v>174</v>
      </c>
      <c r="AN672">
        <v>1</v>
      </c>
      <c r="AO672" s="19">
        <v>187</v>
      </c>
      <c r="AP672">
        <v>0</v>
      </c>
      <c r="AQ672" s="19">
        <v>0</v>
      </c>
    </row>
    <row r="673" spans="1:43" x14ac:dyDescent="0.35">
      <c r="A673" s="18">
        <v>45961</v>
      </c>
      <c r="B673" t="s">
        <v>59</v>
      </c>
      <c r="C673" t="s">
        <v>53</v>
      </c>
      <c r="D673">
        <v>8</v>
      </c>
      <c r="E673">
        <v>3</v>
      </c>
      <c r="F673">
        <v>5</v>
      </c>
      <c r="G673" s="19">
        <v>3968</v>
      </c>
      <c r="H673" s="19">
        <v>3052</v>
      </c>
      <c r="I673" s="19">
        <v>916</v>
      </c>
      <c r="J673" s="19">
        <v>235</v>
      </c>
      <c r="K673" s="19">
        <v>97</v>
      </c>
      <c r="L673" s="19">
        <v>806</v>
      </c>
      <c r="M673" s="19">
        <v>88</v>
      </c>
      <c r="N673" s="19">
        <v>65</v>
      </c>
      <c r="O673" s="19">
        <f t="shared" si="20"/>
        <v>1291</v>
      </c>
      <c r="P673" s="19">
        <f t="shared" si="21"/>
        <v>2677</v>
      </c>
      <c r="Q673" t="s">
        <v>23</v>
      </c>
      <c r="R673" t="s">
        <v>63</v>
      </c>
      <c r="T673">
        <v>1</v>
      </c>
      <c r="U673" s="19">
        <v>1343</v>
      </c>
      <c r="V673">
        <v>0</v>
      </c>
      <c r="W673" s="19">
        <v>0</v>
      </c>
      <c r="X673">
        <v>0</v>
      </c>
      <c r="Y673" s="19">
        <v>0</v>
      </c>
      <c r="Z673">
        <v>1</v>
      </c>
      <c r="AA673" s="19">
        <v>977</v>
      </c>
      <c r="AB673">
        <v>1</v>
      </c>
      <c r="AC673" s="19">
        <v>733</v>
      </c>
      <c r="AD673">
        <v>0</v>
      </c>
      <c r="AE673" s="19">
        <v>0</v>
      </c>
      <c r="AF673">
        <v>0</v>
      </c>
      <c r="AG673" s="19">
        <v>0</v>
      </c>
      <c r="AH673">
        <v>1</v>
      </c>
      <c r="AI673" s="19">
        <v>171</v>
      </c>
      <c r="AJ673">
        <v>1</v>
      </c>
      <c r="AK673" s="19">
        <v>85</v>
      </c>
      <c r="AL673">
        <v>1</v>
      </c>
      <c r="AM673" s="19">
        <v>171</v>
      </c>
      <c r="AN673">
        <v>1</v>
      </c>
      <c r="AO673" s="19">
        <v>183</v>
      </c>
      <c r="AP673">
        <v>1</v>
      </c>
      <c r="AQ673" s="19">
        <v>305</v>
      </c>
    </row>
    <row r="674" spans="1:43" x14ac:dyDescent="0.35">
      <c r="A674" s="18">
        <v>45962</v>
      </c>
      <c r="B674" t="s">
        <v>60</v>
      </c>
      <c r="C674" t="s">
        <v>61</v>
      </c>
      <c r="D674">
        <v>10</v>
      </c>
      <c r="E674">
        <v>4</v>
      </c>
      <c r="F674">
        <v>6</v>
      </c>
      <c r="G674" s="19">
        <v>5051</v>
      </c>
      <c r="H674" s="19">
        <v>3038</v>
      </c>
      <c r="I674" s="19">
        <v>2013</v>
      </c>
      <c r="J674" s="19">
        <v>250</v>
      </c>
      <c r="K674" s="19">
        <v>100</v>
      </c>
      <c r="L674" s="19">
        <v>833</v>
      </c>
      <c r="M674" s="19">
        <v>111</v>
      </c>
      <c r="N674" s="19">
        <v>81</v>
      </c>
      <c r="O674" s="19">
        <f t="shared" si="20"/>
        <v>1375</v>
      </c>
      <c r="P674" s="19">
        <f t="shared" si="21"/>
        <v>3676</v>
      </c>
      <c r="Q674" t="s">
        <v>23</v>
      </c>
      <c r="R674" t="s">
        <v>63</v>
      </c>
      <c r="T674">
        <v>1</v>
      </c>
      <c r="U674" s="19">
        <v>1266</v>
      </c>
      <c r="V674">
        <v>0</v>
      </c>
      <c r="W674" s="19">
        <v>0</v>
      </c>
      <c r="X674">
        <v>0</v>
      </c>
      <c r="Y674" s="19">
        <v>0</v>
      </c>
      <c r="Z674">
        <v>1</v>
      </c>
      <c r="AA674" s="19">
        <v>920</v>
      </c>
      <c r="AB674">
        <v>1</v>
      </c>
      <c r="AC674" s="19">
        <v>690</v>
      </c>
      <c r="AD674">
        <v>1</v>
      </c>
      <c r="AE674" s="19">
        <v>1151</v>
      </c>
      <c r="AF674">
        <v>0</v>
      </c>
      <c r="AG674" s="19">
        <v>0</v>
      </c>
      <c r="AH674">
        <v>2</v>
      </c>
      <c r="AI674" s="19">
        <v>322</v>
      </c>
      <c r="AJ674">
        <v>1</v>
      </c>
      <c r="AK674" s="19">
        <v>81</v>
      </c>
      <c r="AL674">
        <v>1</v>
      </c>
      <c r="AM674" s="19">
        <v>161</v>
      </c>
      <c r="AN674">
        <v>1</v>
      </c>
      <c r="AO674" s="19">
        <v>173</v>
      </c>
      <c r="AP674">
        <v>1</v>
      </c>
      <c r="AQ674" s="19">
        <v>288</v>
      </c>
    </row>
    <row r="675" spans="1:43" x14ac:dyDescent="0.35">
      <c r="A675" s="18">
        <v>45963</v>
      </c>
      <c r="B675" t="s">
        <v>62</v>
      </c>
      <c r="C675" t="s">
        <v>61</v>
      </c>
      <c r="D675">
        <v>9</v>
      </c>
      <c r="E675">
        <v>4</v>
      </c>
      <c r="F675">
        <v>5</v>
      </c>
      <c r="G675" s="19">
        <v>4917</v>
      </c>
      <c r="H675" s="19">
        <v>4179</v>
      </c>
      <c r="I675" s="19">
        <v>738</v>
      </c>
      <c r="J675" s="19">
        <v>250</v>
      </c>
      <c r="K675" s="19">
        <v>100</v>
      </c>
      <c r="L675" s="19">
        <v>833</v>
      </c>
      <c r="M675" s="19">
        <v>108</v>
      </c>
      <c r="N675" s="19">
        <v>73</v>
      </c>
      <c r="O675" s="19">
        <f t="shared" si="20"/>
        <v>1364</v>
      </c>
      <c r="P675" s="19">
        <f t="shared" si="21"/>
        <v>3553</v>
      </c>
      <c r="Q675" t="s">
        <v>25</v>
      </c>
      <c r="R675" t="s">
        <v>63</v>
      </c>
      <c r="T675">
        <v>1</v>
      </c>
      <c r="U675" s="19">
        <v>1082</v>
      </c>
      <c r="V675">
        <v>0</v>
      </c>
      <c r="W675" s="19">
        <v>0</v>
      </c>
      <c r="X675">
        <v>1</v>
      </c>
      <c r="Y675" s="19">
        <v>1721</v>
      </c>
      <c r="Z675">
        <v>1</v>
      </c>
      <c r="AA675" s="19">
        <v>787</v>
      </c>
      <c r="AB675">
        <v>1</v>
      </c>
      <c r="AC675" s="19">
        <v>590</v>
      </c>
      <c r="AD675">
        <v>0</v>
      </c>
      <c r="AE675" s="19">
        <v>0</v>
      </c>
      <c r="AF675">
        <v>0</v>
      </c>
      <c r="AG675" s="19">
        <v>0</v>
      </c>
      <c r="AH675">
        <v>1</v>
      </c>
      <c r="AI675" s="19">
        <v>138</v>
      </c>
      <c r="AJ675">
        <v>1</v>
      </c>
      <c r="AK675" s="19">
        <v>69</v>
      </c>
      <c r="AL675">
        <v>1</v>
      </c>
      <c r="AM675" s="19">
        <v>138</v>
      </c>
      <c r="AN675">
        <v>1</v>
      </c>
      <c r="AO675" s="19">
        <v>148</v>
      </c>
      <c r="AP675">
        <v>1</v>
      </c>
      <c r="AQ675" s="19">
        <v>246</v>
      </c>
    </row>
    <row r="676" spans="1:43" x14ac:dyDescent="0.35">
      <c r="A676" s="18">
        <v>45964</v>
      </c>
      <c r="B676" t="s">
        <v>52</v>
      </c>
      <c r="C676" t="s">
        <v>53</v>
      </c>
      <c r="D676">
        <v>7</v>
      </c>
      <c r="E676">
        <v>2</v>
      </c>
      <c r="F676">
        <v>5</v>
      </c>
      <c r="G676" s="19">
        <v>3570</v>
      </c>
      <c r="H676" s="19">
        <v>2477</v>
      </c>
      <c r="I676" s="19">
        <v>1093</v>
      </c>
      <c r="J676" s="19">
        <v>250</v>
      </c>
      <c r="K676" s="19">
        <v>100</v>
      </c>
      <c r="L676" s="19">
        <v>833</v>
      </c>
      <c r="M676" s="19">
        <v>79</v>
      </c>
      <c r="N676" s="19">
        <v>57</v>
      </c>
      <c r="O676" s="19">
        <f t="shared" si="20"/>
        <v>1319</v>
      </c>
      <c r="P676" s="19">
        <f t="shared" si="21"/>
        <v>2251</v>
      </c>
      <c r="Q676" t="s">
        <v>23</v>
      </c>
      <c r="R676" t="s">
        <v>63</v>
      </c>
      <c r="T676">
        <v>1</v>
      </c>
      <c r="U676" s="19">
        <v>1603</v>
      </c>
      <c r="V676">
        <v>0</v>
      </c>
      <c r="W676" s="19">
        <v>0</v>
      </c>
      <c r="X676">
        <v>0</v>
      </c>
      <c r="Y676" s="19">
        <v>0</v>
      </c>
      <c r="Z676">
        <v>0</v>
      </c>
      <c r="AA676" s="19">
        <v>0</v>
      </c>
      <c r="AB676">
        <v>1</v>
      </c>
      <c r="AC676" s="19">
        <v>874</v>
      </c>
      <c r="AD676">
        <v>0</v>
      </c>
      <c r="AE676" s="19">
        <v>0</v>
      </c>
      <c r="AF676">
        <v>0</v>
      </c>
      <c r="AG676" s="19">
        <v>0</v>
      </c>
      <c r="AH676">
        <v>1</v>
      </c>
      <c r="AI676" s="19">
        <v>204</v>
      </c>
      <c r="AJ676">
        <v>1</v>
      </c>
      <c r="AK676" s="19">
        <v>102</v>
      </c>
      <c r="AL676">
        <v>1</v>
      </c>
      <c r="AM676" s="19">
        <v>204</v>
      </c>
      <c r="AN676">
        <v>1</v>
      </c>
      <c r="AO676" s="19">
        <v>219</v>
      </c>
      <c r="AP676">
        <v>1</v>
      </c>
      <c r="AQ676" s="19">
        <v>364</v>
      </c>
    </row>
    <row r="677" spans="1:43" x14ac:dyDescent="0.35">
      <c r="A677" s="18">
        <v>45965</v>
      </c>
      <c r="B677" t="s">
        <v>56</v>
      </c>
      <c r="C677" t="s">
        <v>53</v>
      </c>
      <c r="D677">
        <v>7</v>
      </c>
      <c r="E677">
        <v>2</v>
      </c>
      <c r="F677">
        <v>5</v>
      </c>
      <c r="G677" s="19">
        <v>3905</v>
      </c>
      <c r="H677" s="19">
        <v>2710</v>
      </c>
      <c r="I677" s="19">
        <v>1195</v>
      </c>
      <c r="J677" s="19">
        <v>250</v>
      </c>
      <c r="K677" s="19">
        <v>100</v>
      </c>
      <c r="L677" s="19">
        <v>833</v>
      </c>
      <c r="M677" s="19">
        <v>86</v>
      </c>
      <c r="N677" s="19">
        <v>57</v>
      </c>
      <c r="O677" s="19">
        <f t="shared" si="20"/>
        <v>1326</v>
      </c>
      <c r="P677" s="19">
        <f t="shared" si="21"/>
        <v>2579</v>
      </c>
      <c r="Q677" t="s">
        <v>23</v>
      </c>
      <c r="R677" t="s">
        <v>63</v>
      </c>
      <c r="T677">
        <v>1</v>
      </c>
      <c r="U677" s="19">
        <v>1753</v>
      </c>
      <c r="V677">
        <v>0</v>
      </c>
      <c r="W677" s="19">
        <v>0</v>
      </c>
      <c r="X677">
        <v>0</v>
      </c>
      <c r="Y677" s="19">
        <v>0</v>
      </c>
      <c r="Z677">
        <v>0</v>
      </c>
      <c r="AA677" s="19">
        <v>0</v>
      </c>
      <c r="AB677">
        <v>1</v>
      </c>
      <c r="AC677" s="19">
        <v>956</v>
      </c>
      <c r="AD677">
        <v>0</v>
      </c>
      <c r="AE677" s="19">
        <v>0</v>
      </c>
      <c r="AF677">
        <v>0</v>
      </c>
      <c r="AG677" s="19">
        <v>0</v>
      </c>
      <c r="AH677">
        <v>1</v>
      </c>
      <c r="AI677" s="19">
        <v>223</v>
      </c>
      <c r="AJ677">
        <v>1</v>
      </c>
      <c r="AK677" s="19">
        <v>112</v>
      </c>
      <c r="AL677">
        <v>1</v>
      </c>
      <c r="AM677" s="19">
        <v>223</v>
      </c>
      <c r="AN677">
        <v>1</v>
      </c>
      <c r="AO677" s="19">
        <v>239</v>
      </c>
      <c r="AP677">
        <v>1</v>
      </c>
      <c r="AQ677" s="19">
        <v>398</v>
      </c>
    </row>
    <row r="678" spans="1:43" x14ac:dyDescent="0.35">
      <c r="A678" s="18">
        <v>45966</v>
      </c>
      <c r="B678" t="s">
        <v>57</v>
      </c>
      <c r="C678" t="s">
        <v>53</v>
      </c>
      <c r="D678">
        <v>8</v>
      </c>
      <c r="E678">
        <v>3</v>
      </c>
      <c r="F678">
        <v>5</v>
      </c>
      <c r="G678" s="19">
        <v>4058</v>
      </c>
      <c r="H678" s="19">
        <v>2883</v>
      </c>
      <c r="I678" s="19">
        <v>1175</v>
      </c>
      <c r="J678" s="19">
        <v>250</v>
      </c>
      <c r="K678" s="19">
        <v>100</v>
      </c>
      <c r="L678" s="19">
        <v>833</v>
      </c>
      <c r="M678" s="19">
        <v>90</v>
      </c>
      <c r="N678" s="19">
        <v>65</v>
      </c>
      <c r="O678" s="19">
        <f t="shared" si="20"/>
        <v>1338</v>
      </c>
      <c r="P678" s="19">
        <f t="shared" si="21"/>
        <v>2720</v>
      </c>
      <c r="Q678" t="s">
        <v>23</v>
      </c>
      <c r="R678" t="s">
        <v>63</v>
      </c>
      <c r="T678">
        <v>1</v>
      </c>
      <c r="U678" s="19">
        <v>1723</v>
      </c>
      <c r="V678">
        <v>0</v>
      </c>
      <c r="W678" s="19">
        <v>0</v>
      </c>
      <c r="X678">
        <v>0</v>
      </c>
      <c r="Y678" s="19">
        <v>0</v>
      </c>
      <c r="Z678">
        <v>0</v>
      </c>
      <c r="AA678" s="19">
        <v>0</v>
      </c>
      <c r="AB678">
        <v>1</v>
      </c>
      <c r="AC678" s="19">
        <v>940</v>
      </c>
      <c r="AD678">
        <v>0</v>
      </c>
      <c r="AE678" s="19">
        <v>0</v>
      </c>
      <c r="AF678">
        <v>0</v>
      </c>
      <c r="AG678" s="19">
        <v>0</v>
      </c>
      <c r="AH678">
        <v>2</v>
      </c>
      <c r="AI678" s="19">
        <v>439</v>
      </c>
      <c r="AJ678">
        <v>1</v>
      </c>
      <c r="AK678" s="19">
        <v>110</v>
      </c>
      <c r="AL678">
        <v>1</v>
      </c>
      <c r="AM678" s="19">
        <v>219</v>
      </c>
      <c r="AN678">
        <v>1</v>
      </c>
      <c r="AO678" s="19">
        <v>235</v>
      </c>
      <c r="AP678">
        <v>1</v>
      </c>
      <c r="AQ678" s="19">
        <v>392</v>
      </c>
    </row>
    <row r="679" spans="1:43" x14ac:dyDescent="0.35">
      <c r="A679" s="18">
        <v>45967</v>
      </c>
      <c r="B679" t="s">
        <v>58</v>
      </c>
      <c r="C679" t="s">
        <v>53</v>
      </c>
      <c r="D679">
        <v>8</v>
      </c>
      <c r="E679">
        <v>4</v>
      </c>
      <c r="F679">
        <v>4</v>
      </c>
      <c r="G679" s="19">
        <v>4358</v>
      </c>
      <c r="H679" s="19">
        <v>3664</v>
      </c>
      <c r="I679" s="19">
        <v>694</v>
      </c>
      <c r="J679" s="19">
        <v>250</v>
      </c>
      <c r="K679" s="19">
        <v>100</v>
      </c>
      <c r="L679" s="19">
        <v>833</v>
      </c>
      <c r="M679" s="19">
        <v>96</v>
      </c>
      <c r="N679" s="19">
        <v>65</v>
      </c>
      <c r="O679" s="19">
        <f t="shared" si="20"/>
        <v>1344</v>
      </c>
      <c r="P679" s="19">
        <f t="shared" si="21"/>
        <v>3014</v>
      </c>
      <c r="Q679" t="s">
        <v>23</v>
      </c>
      <c r="R679" t="s">
        <v>63</v>
      </c>
      <c r="T679">
        <v>1</v>
      </c>
      <c r="U679" s="19">
        <v>1527</v>
      </c>
      <c r="V679">
        <v>0</v>
      </c>
      <c r="W679" s="19">
        <v>0</v>
      </c>
      <c r="X679">
        <v>0</v>
      </c>
      <c r="Y679" s="19">
        <v>0</v>
      </c>
      <c r="Z679">
        <v>1</v>
      </c>
      <c r="AA679" s="19">
        <v>1110</v>
      </c>
      <c r="AB679">
        <v>1</v>
      </c>
      <c r="AC679" s="19">
        <v>833</v>
      </c>
      <c r="AD679">
        <v>0</v>
      </c>
      <c r="AE679" s="19">
        <v>0</v>
      </c>
      <c r="AF679">
        <v>0</v>
      </c>
      <c r="AG679" s="19">
        <v>0</v>
      </c>
      <c r="AH679">
        <v>2</v>
      </c>
      <c r="AI679" s="19">
        <v>389</v>
      </c>
      <c r="AJ679">
        <v>1</v>
      </c>
      <c r="AK679" s="19">
        <v>97</v>
      </c>
      <c r="AL679">
        <v>1</v>
      </c>
      <c r="AM679" s="19">
        <v>194</v>
      </c>
      <c r="AN679">
        <v>1</v>
      </c>
      <c r="AO679" s="19">
        <v>208</v>
      </c>
      <c r="AP679">
        <v>0</v>
      </c>
      <c r="AQ679" s="19">
        <v>0</v>
      </c>
    </row>
    <row r="680" spans="1:43" x14ac:dyDescent="0.35">
      <c r="A680" s="18">
        <v>45968</v>
      </c>
      <c r="B680" t="s">
        <v>59</v>
      </c>
      <c r="C680" t="s">
        <v>53</v>
      </c>
      <c r="D680">
        <v>8</v>
      </c>
      <c r="E680">
        <v>3</v>
      </c>
      <c r="F680">
        <v>5</v>
      </c>
      <c r="G680" s="19">
        <v>4065</v>
      </c>
      <c r="H680" s="19">
        <v>3127</v>
      </c>
      <c r="I680" s="19">
        <v>938</v>
      </c>
      <c r="J680" s="19">
        <v>250</v>
      </c>
      <c r="K680" s="19">
        <v>100</v>
      </c>
      <c r="L680" s="19">
        <v>833</v>
      </c>
      <c r="M680" s="19">
        <v>90</v>
      </c>
      <c r="N680" s="19">
        <v>65</v>
      </c>
      <c r="O680" s="19">
        <f t="shared" si="20"/>
        <v>1338</v>
      </c>
      <c r="P680" s="19">
        <f t="shared" si="21"/>
        <v>2727</v>
      </c>
      <c r="Q680" t="s">
        <v>23</v>
      </c>
      <c r="R680" t="s">
        <v>63</v>
      </c>
      <c r="T680">
        <v>1</v>
      </c>
      <c r="U680" s="19">
        <v>1376</v>
      </c>
      <c r="V680">
        <v>0</v>
      </c>
      <c r="W680" s="19">
        <v>0</v>
      </c>
      <c r="X680">
        <v>0</v>
      </c>
      <c r="Y680" s="19">
        <v>0</v>
      </c>
      <c r="Z680">
        <v>1</v>
      </c>
      <c r="AA680" s="19">
        <v>1001</v>
      </c>
      <c r="AB680">
        <v>1</v>
      </c>
      <c r="AC680" s="19">
        <v>750</v>
      </c>
      <c r="AD680">
        <v>0</v>
      </c>
      <c r="AE680" s="19">
        <v>0</v>
      </c>
      <c r="AF680">
        <v>0</v>
      </c>
      <c r="AG680" s="19">
        <v>0</v>
      </c>
      <c r="AH680">
        <v>1</v>
      </c>
      <c r="AI680" s="19">
        <v>175</v>
      </c>
      <c r="AJ680">
        <v>1</v>
      </c>
      <c r="AK680" s="19">
        <v>88</v>
      </c>
      <c r="AL680">
        <v>1</v>
      </c>
      <c r="AM680" s="19">
        <v>175</v>
      </c>
      <c r="AN680">
        <v>1</v>
      </c>
      <c r="AO680" s="19">
        <v>188</v>
      </c>
      <c r="AP680">
        <v>1</v>
      </c>
      <c r="AQ680" s="19">
        <v>313</v>
      </c>
    </row>
    <row r="681" spans="1:43" x14ac:dyDescent="0.35">
      <c r="A681" s="18">
        <v>45969</v>
      </c>
      <c r="B681" t="s">
        <v>60</v>
      </c>
      <c r="C681" t="s">
        <v>61</v>
      </c>
      <c r="D681">
        <v>10</v>
      </c>
      <c r="E681">
        <v>4</v>
      </c>
      <c r="F681">
        <v>6</v>
      </c>
      <c r="G681" s="19">
        <v>5080</v>
      </c>
      <c r="H681" s="19">
        <v>3055</v>
      </c>
      <c r="I681" s="19">
        <v>2025</v>
      </c>
      <c r="J681" s="19">
        <v>250</v>
      </c>
      <c r="K681" s="19">
        <v>100</v>
      </c>
      <c r="L681" s="19">
        <v>833</v>
      </c>
      <c r="M681" s="19">
        <v>112</v>
      </c>
      <c r="N681" s="19">
        <v>81</v>
      </c>
      <c r="O681" s="19">
        <f t="shared" si="20"/>
        <v>1376</v>
      </c>
      <c r="P681" s="19">
        <f t="shared" si="21"/>
        <v>3704</v>
      </c>
      <c r="Q681" t="s">
        <v>23</v>
      </c>
      <c r="R681" t="s">
        <v>63</v>
      </c>
      <c r="T681">
        <v>1</v>
      </c>
      <c r="U681" s="19">
        <v>1273</v>
      </c>
      <c r="V681">
        <v>0</v>
      </c>
      <c r="W681" s="19">
        <v>0</v>
      </c>
      <c r="X681">
        <v>0</v>
      </c>
      <c r="Y681" s="19">
        <v>0</v>
      </c>
      <c r="Z681">
        <v>1</v>
      </c>
      <c r="AA681" s="19">
        <v>926</v>
      </c>
      <c r="AB681">
        <v>1</v>
      </c>
      <c r="AC681" s="19">
        <v>694</v>
      </c>
      <c r="AD681">
        <v>1</v>
      </c>
      <c r="AE681" s="19">
        <v>1157</v>
      </c>
      <c r="AF681">
        <v>0</v>
      </c>
      <c r="AG681" s="19">
        <v>0</v>
      </c>
      <c r="AH681">
        <v>2</v>
      </c>
      <c r="AI681" s="19">
        <v>324</v>
      </c>
      <c r="AJ681">
        <v>1</v>
      </c>
      <c r="AK681" s="19">
        <v>81</v>
      </c>
      <c r="AL681">
        <v>1</v>
      </c>
      <c r="AM681" s="19">
        <v>162</v>
      </c>
      <c r="AN681">
        <v>1</v>
      </c>
      <c r="AO681" s="19">
        <v>174</v>
      </c>
      <c r="AP681">
        <v>1</v>
      </c>
      <c r="AQ681" s="19">
        <v>289</v>
      </c>
    </row>
    <row r="682" spans="1:43" x14ac:dyDescent="0.35">
      <c r="A682" s="18">
        <v>45970</v>
      </c>
      <c r="B682" t="s">
        <v>62</v>
      </c>
      <c r="C682" t="s">
        <v>61</v>
      </c>
      <c r="D682">
        <v>10</v>
      </c>
      <c r="E682">
        <v>5</v>
      </c>
      <c r="F682">
        <v>5</v>
      </c>
      <c r="G682" s="19">
        <v>5174</v>
      </c>
      <c r="H682" s="19">
        <v>4052</v>
      </c>
      <c r="I682" s="19">
        <v>1122</v>
      </c>
      <c r="J682" s="19">
        <v>250</v>
      </c>
      <c r="K682" s="19">
        <v>100</v>
      </c>
      <c r="L682" s="19">
        <v>833</v>
      </c>
      <c r="M682" s="19">
        <v>114</v>
      </c>
      <c r="N682" s="19">
        <v>81</v>
      </c>
      <c r="O682" s="19">
        <f t="shared" si="20"/>
        <v>1378</v>
      </c>
      <c r="P682" s="19">
        <f t="shared" si="21"/>
        <v>3796</v>
      </c>
      <c r="Q682" t="s">
        <v>23</v>
      </c>
      <c r="R682" t="s">
        <v>63</v>
      </c>
      <c r="T682">
        <v>1</v>
      </c>
      <c r="U682" s="19">
        <v>1645</v>
      </c>
      <c r="V682">
        <v>0</v>
      </c>
      <c r="W682" s="19">
        <v>0</v>
      </c>
      <c r="X682">
        <v>0</v>
      </c>
      <c r="Y682" s="19">
        <v>0</v>
      </c>
      <c r="Z682">
        <v>1</v>
      </c>
      <c r="AA682" s="19">
        <v>1196</v>
      </c>
      <c r="AB682">
        <v>1</v>
      </c>
      <c r="AC682" s="19">
        <v>897</v>
      </c>
      <c r="AD682">
        <v>0</v>
      </c>
      <c r="AE682" s="19">
        <v>0</v>
      </c>
      <c r="AF682">
        <v>0</v>
      </c>
      <c r="AG682" s="19">
        <v>0</v>
      </c>
      <c r="AH682">
        <v>2</v>
      </c>
      <c r="AI682" s="19">
        <v>419</v>
      </c>
      <c r="AJ682">
        <v>2</v>
      </c>
      <c r="AK682" s="19">
        <v>209</v>
      </c>
      <c r="AL682">
        <v>1</v>
      </c>
      <c r="AM682" s="19">
        <v>209</v>
      </c>
      <c r="AN682">
        <v>1</v>
      </c>
      <c r="AO682" s="19">
        <v>224</v>
      </c>
      <c r="AP682">
        <v>1</v>
      </c>
      <c r="AQ682" s="19">
        <v>374</v>
      </c>
    </row>
    <row r="683" spans="1:43" x14ac:dyDescent="0.35">
      <c r="A683" s="18">
        <v>45971</v>
      </c>
      <c r="B683" t="s">
        <v>52</v>
      </c>
      <c r="C683" t="s">
        <v>53</v>
      </c>
      <c r="D683">
        <v>7</v>
      </c>
      <c r="E683">
        <v>2</v>
      </c>
      <c r="F683">
        <v>5</v>
      </c>
      <c r="G683" s="19">
        <v>3665</v>
      </c>
      <c r="H683" s="19">
        <v>2543</v>
      </c>
      <c r="I683" s="19">
        <v>1122</v>
      </c>
      <c r="J683" s="19">
        <v>250</v>
      </c>
      <c r="K683" s="19">
        <v>100</v>
      </c>
      <c r="L683" s="19">
        <v>833</v>
      </c>
      <c r="M683" s="19">
        <v>81</v>
      </c>
      <c r="N683" s="19">
        <v>57</v>
      </c>
      <c r="O683" s="19">
        <f t="shared" si="20"/>
        <v>1321</v>
      </c>
      <c r="P683" s="19">
        <f t="shared" si="21"/>
        <v>2344</v>
      </c>
      <c r="Q683" t="s">
        <v>23</v>
      </c>
      <c r="R683" t="s">
        <v>63</v>
      </c>
      <c r="T683">
        <v>1</v>
      </c>
      <c r="U683" s="19">
        <v>1646</v>
      </c>
      <c r="V683">
        <v>0</v>
      </c>
      <c r="W683" s="19">
        <v>0</v>
      </c>
      <c r="X683">
        <v>0</v>
      </c>
      <c r="Y683" s="19">
        <v>0</v>
      </c>
      <c r="Z683">
        <v>0</v>
      </c>
      <c r="AA683" s="19">
        <v>0</v>
      </c>
      <c r="AB683">
        <v>1</v>
      </c>
      <c r="AC683" s="19">
        <v>898</v>
      </c>
      <c r="AD683">
        <v>0</v>
      </c>
      <c r="AE683" s="19">
        <v>0</v>
      </c>
      <c r="AF683">
        <v>0</v>
      </c>
      <c r="AG683" s="19">
        <v>0</v>
      </c>
      <c r="AH683">
        <v>1</v>
      </c>
      <c r="AI683" s="19">
        <v>209</v>
      </c>
      <c r="AJ683">
        <v>1</v>
      </c>
      <c r="AK683" s="19">
        <v>105</v>
      </c>
      <c r="AL683">
        <v>1</v>
      </c>
      <c r="AM683" s="19">
        <v>209</v>
      </c>
      <c r="AN683">
        <v>1</v>
      </c>
      <c r="AO683" s="19">
        <v>224</v>
      </c>
      <c r="AP683">
        <v>1</v>
      </c>
      <c r="AQ683" s="19">
        <v>374</v>
      </c>
    </row>
    <row r="684" spans="1:43" x14ac:dyDescent="0.35">
      <c r="A684" s="18">
        <v>45972</v>
      </c>
      <c r="B684" t="s">
        <v>56</v>
      </c>
      <c r="C684" t="s">
        <v>53</v>
      </c>
      <c r="D684">
        <v>7</v>
      </c>
      <c r="E684">
        <v>2</v>
      </c>
      <c r="F684">
        <v>5</v>
      </c>
      <c r="G684" s="19">
        <v>3650</v>
      </c>
      <c r="H684" s="19">
        <v>2533</v>
      </c>
      <c r="I684" s="19">
        <v>1117</v>
      </c>
      <c r="J684" s="19">
        <v>250</v>
      </c>
      <c r="K684" s="19">
        <v>100</v>
      </c>
      <c r="L684" s="19">
        <v>833</v>
      </c>
      <c r="M684" s="19">
        <v>81</v>
      </c>
      <c r="N684" s="19">
        <v>57</v>
      </c>
      <c r="O684" s="19">
        <f t="shared" si="20"/>
        <v>1321</v>
      </c>
      <c r="P684" s="19">
        <f t="shared" si="21"/>
        <v>2329</v>
      </c>
      <c r="Q684" t="s">
        <v>23</v>
      </c>
      <c r="R684" t="s">
        <v>63</v>
      </c>
      <c r="T684">
        <v>1</v>
      </c>
      <c r="U684" s="19">
        <v>1639</v>
      </c>
      <c r="V684">
        <v>0</v>
      </c>
      <c r="W684" s="19">
        <v>0</v>
      </c>
      <c r="X684">
        <v>0</v>
      </c>
      <c r="Y684" s="19">
        <v>0</v>
      </c>
      <c r="Z684">
        <v>0</v>
      </c>
      <c r="AA684" s="19">
        <v>0</v>
      </c>
      <c r="AB684">
        <v>1</v>
      </c>
      <c r="AC684" s="19">
        <v>894</v>
      </c>
      <c r="AD684">
        <v>0</v>
      </c>
      <c r="AE684" s="19">
        <v>0</v>
      </c>
      <c r="AF684">
        <v>0</v>
      </c>
      <c r="AG684" s="19">
        <v>0</v>
      </c>
      <c r="AH684">
        <v>1</v>
      </c>
      <c r="AI684" s="19">
        <v>209</v>
      </c>
      <c r="AJ684">
        <v>1</v>
      </c>
      <c r="AK684" s="19">
        <v>104</v>
      </c>
      <c r="AL684">
        <v>1</v>
      </c>
      <c r="AM684" s="19">
        <v>209</v>
      </c>
      <c r="AN684">
        <v>1</v>
      </c>
      <c r="AO684" s="19">
        <v>223</v>
      </c>
      <c r="AP684">
        <v>1</v>
      </c>
      <c r="AQ684" s="19">
        <v>372</v>
      </c>
    </row>
    <row r="685" spans="1:43" x14ac:dyDescent="0.35">
      <c r="A685" s="18">
        <v>45973</v>
      </c>
      <c r="B685" t="s">
        <v>57</v>
      </c>
      <c r="C685" t="s">
        <v>53</v>
      </c>
      <c r="D685">
        <v>8</v>
      </c>
      <c r="E685">
        <v>3</v>
      </c>
      <c r="F685">
        <v>5</v>
      </c>
      <c r="G685" s="19">
        <v>4125</v>
      </c>
      <c r="H685" s="19">
        <v>3173</v>
      </c>
      <c r="I685" s="19">
        <v>952</v>
      </c>
      <c r="J685" s="19">
        <v>250</v>
      </c>
      <c r="K685" s="19">
        <v>100</v>
      </c>
      <c r="L685" s="19">
        <v>833</v>
      </c>
      <c r="M685" s="19">
        <v>91</v>
      </c>
      <c r="N685" s="19">
        <v>65</v>
      </c>
      <c r="O685" s="19">
        <f t="shared" si="20"/>
        <v>1339</v>
      </c>
      <c r="P685" s="19">
        <f t="shared" si="21"/>
        <v>2786</v>
      </c>
      <c r="Q685" t="s">
        <v>23</v>
      </c>
      <c r="R685" t="s">
        <v>63</v>
      </c>
      <c r="T685">
        <v>1</v>
      </c>
      <c r="U685" s="19">
        <v>1396</v>
      </c>
      <c r="V685">
        <v>0</v>
      </c>
      <c r="W685" s="19">
        <v>0</v>
      </c>
      <c r="X685">
        <v>0</v>
      </c>
      <c r="Y685" s="19">
        <v>0</v>
      </c>
      <c r="Z685">
        <v>1</v>
      </c>
      <c r="AA685" s="19">
        <v>1015</v>
      </c>
      <c r="AB685">
        <v>1</v>
      </c>
      <c r="AC685" s="19">
        <v>762</v>
      </c>
      <c r="AD685">
        <v>0</v>
      </c>
      <c r="AE685" s="19">
        <v>0</v>
      </c>
      <c r="AF685">
        <v>0</v>
      </c>
      <c r="AG685" s="19">
        <v>0</v>
      </c>
      <c r="AH685">
        <v>1</v>
      </c>
      <c r="AI685" s="19">
        <v>178</v>
      </c>
      <c r="AJ685">
        <v>1</v>
      </c>
      <c r="AK685" s="19">
        <v>89</v>
      </c>
      <c r="AL685">
        <v>1</v>
      </c>
      <c r="AM685" s="19">
        <v>178</v>
      </c>
      <c r="AN685">
        <v>1</v>
      </c>
      <c r="AO685" s="19">
        <v>190</v>
      </c>
      <c r="AP685">
        <v>1</v>
      </c>
      <c r="AQ685" s="19">
        <v>317</v>
      </c>
    </row>
    <row r="686" spans="1:43" x14ac:dyDescent="0.35">
      <c r="A686" s="18">
        <v>45974</v>
      </c>
      <c r="B686" t="s">
        <v>58</v>
      </c>
      <c r="C686" t="s">
        <v>53</v>
      </c>
      <c r="D686">
        <v>7</v>
      </c>
      <c r="E686">
        <v>2</v>
      </c>
      <c r="F686">
        <v>5</v>
      </c>
      <c r="G686" s="19">
        <v>3841</v>
      </c>
      <c r="H686" s="19">
        <v>2665</v>
      </c>
      <c r="I686" s="19">
        <v>1176</v>
      </c>
      <c r="J686" s="19">
        <v>250</v>
      </c>
      <c r="K686" s="19">
        <v>100</v>
      </c>
      <c r="L686" s="19">
        <v>833</v>
      </c>
      <c r="M686" s="19">
        <v>85</v>
      </c>
      <c r="N686" s="19">
        <v>57</v>
      </c>
      <c r="O686" s="19">
        <f t="shared" si="20"/>
        <v>1325</v>
      </c>
      <c r="P686" s="19">
        <f t="shared" si="21"/>
        <v>2516</v>
      </c>
      <c r="Q686" t="s">
        <v>23</v>
      </c>
      <c r="R686" t="s">
        <v>63</v>
      </c>
      <c r="T686">
        <v>1</v>
      </c>
      <c r="U686" s="19">
        <v>1725</v>
      </c>
      <c r="V686">
        <v>0</v>
      </c>
      <c r="W686" s="19">
        <v>0</v>
      </c>
      <c r="X686">
        <v>0</v>
      </c>
      <c r="Y686" s="19">
        <v>0</v>
      </c>
      <c r="Z686">
        <v>0</v>
      </c>
      <c r="AA686" s="19">
        <v>0</v>
      </c>
      <c r="AB686">
        <v>1</v>
      </c>
      <c r="AC686" s="19">
        <v>941</v>
      </c>
      <c r="AD686">
        <v>0</v>
      </c>
      <c r="AE686" s="19">
        <v>0</v>
      </c>
      <c r="AF686">
        <v>0</v>
      </c>
      <c r="AG686" s="19">
        <v>0</v>
      </c>
      <c r="AH686">
        <v>1</v>
      </c>
      <c r="AI686" s="19">
        <v>219</v>
      </c>
      <c r="AJ686">
        <v>1</v>
      </c>
      <c r="AK686" s="19">
        <v>110</v>
      </c>
      <c r="AL686">
        <v>1</v>
      </c>
      <c r="AM686" s="19">
        <v>219</v>
      </c>
      <c r="AN686">
        <v>1</v>
      </c>
      <c r="AO686" s="19">
        <v>235</v>
      </c>
      <c r="AP686">
        <v>1</v>
      </c>
      <c r="AQ686" s="19">
        <v>392</v>
      </c>
    </row>
    <row r="687" spans="1:43" x14ac:dyDescent="0.35">
      <c r="A687" s="18">
        <v>45975</v>
      </c>
      <c r="B687" t="s">
        <v>59</v>
      </c>
      <c r="C687" t="s">
        <v>53</v>
      </c>
      <c r="D687">
        <v>8</v>
      </c>
      <c r="E687">
        <v>3</v>
      </c>
      <c r="F687">
        <v>5</v>
      </c>
      <c r="G687" s="19">
        <v>4289</v>
      </c>
      <c r="H687" s="19">
        <v>3047</v>
      </c>
      <c r="I687" s="19">
        <v>1242</v>
      </c>
      <c r="J687" s="19">
        <v>250</v>
      </c>
      <c r="K687" s="19">
        <v>100</v>
      </c>
      <c r="L687" s="19">
        <v>833</v>
      </c>
      <c r="M687" s="19">
        <v>95</v>
      </c>
      <c r="N687" s="19">
        <v>65</v>
      </c>
      <c r="O687" s="19">
        <f t="shared" si="20"/>
        <v>1343</v>
      </c>
      <c r="P687" s="19">
        <f t="shared" si="21"/>
        <v>2946</v>
      </c>
      <c r="Q687" t="s">
        <v>23</v>
      </c>
      <c r="R687" t="s">
        <v>63</v>
      </c>
      <c r="T687">
        <v>1</v>
      </c>
      <c r="U687" s="19">
        <v>1822</v>
      </c>
      <c r="V687">
        <v>0</v>
      </c>
      <c r="W687" s="19">
        <v>0</v>
      </c>
      <c r="X687">
        <v>0</v>
      </c>
      <c r="Y687" s="19">
        <v>0</v>
      </c>
      <c r="Z687">
        <v>0</v>
      </c>
      <c r="AA687" s="19">
        <v>0</v>
      </c>
      <c r="AB687">
        <v>1</v>
      </c>
      <c r="AC687" s="19">
        <v>994</v>
      </c>
      <c r="AD687">
        <v>0</v>
      </c>
      <c r="AE687" s="19">
        <v>0</v>
      </c>
      <c r="AF687">
        <v>0</v>
      </c>
      <c r="AG687" s="19">
        <v>0</v>
      </c>
      <c r="AH687">
        <v>2</v>
      </c>
      <c r="AI687" s="19">
        <v>464</v>
      </c>
      <c r="AJ687">
        <v>1</v>
      </c>
      <c r="AK687" s="19">
        <v>116</v>
      </c>
      <c r="AL687">
        <v>1</v>
      </c>
      <c r="AM687" s="19">
        <v>232</v>
      </c>
      <c r="AN687">
        <v>1</v>
      </c>
      <c r="AO687" s="19">
        <v>248</v>
      </c>
      <c r="AP687">
        <v>1</v>
      </c>
      <c r="AQ687" s="19">
        <v>414</v>
      </c>
    </row>
    <row r="688" spans="1:43" x14ac:dyDescent="0.35">
      <c r="A688" s="18">
        <v>45976</v>
      </c>
      <c r="B688" t="s">
        <v>60</v>
      </c>
      <c r="C688" t="s">
        <v>61</v>
      </c>
      <c r="D688">
        <v>10</v>
      </c>
      <c r="E688">
        <v>5</v>
      </c>
      <c r="F688">
        <v>5</v>
      </c>
      <c r="G688" s="19">
        <v>5274</v>
      </c>
      <c r="H688" s="19">
        <v>4131</v>
      </c>
      <c r="I688" s="19">
        <v>1143</v>
      </c>
      <c r="J688" s="19">
        <v>250</v>
      </c>
      <c r="K688" s="19">
        <v>100</v>
      </c>
      <c r="L688" s="19">
        <v>833</v>
      </c>
      <c r="M688" s="19">
        <v>116</v>
      </c>
      <c r="N688" s="19">
        <v>81</v>
      </c>
      <c r="O688" s="19">
        <f t="shared" si="20"/>
        <v>1380</v>
      </c>
      <c r="P688" s="19">
        <f t="shared" si="21"/>
        <v>3894</v>
      </c>
      <c r="Q688" t="s">
        <v>23</v>
      </c>
      <c r="R688" t="s">
        <v>63</v>
      </c>
      <c r="T688">
        <v>1</v>
      </c>
      <c r="U688" s="19">
        <v>1677</v>
      </c>
      <c r="V688">
        <v>0</v>
      </c>
      <c r="W688" s="19">
        <v>0</v>
      </c>
      <c r="X688">
        <v>0</v>
      </c>
      <c r="Y688" s="19">
        <v>0</v>
      </c>
      <c r="Z688">
        <v>1</v>
      </c>
      <c r="AA688" s="19">
        <v>1219</v>
      </c>
      <c r="AB688">
        <v>1</v>
      </c>
      <c r="AC688" s="19">
        <v>915</v>
      </c>
      <c r="AD688">
        <v>0</v>
      </c>
      <c r="AE688" s="19">
        <v>0</v>
      </c>
      <c r="AF688">
        <v>0</v>
      </c>
      <c r="AG688" s="19">
        <v>0</v>
      </c>
      <c r="AH688">
        <v>2</v>
      </c>
      <c r="AI688" s="19">
        <v>427</v>
      </c>
      <c r="AJ688">
        <v>2</v>
      </c>
      <c r="AK688" s="19">
        <v>213</v>
      </c>
      <c r="AL688">
        <v>1</v>
      </c>
      <c r="AM688" s="19">
        <v>213</v>
      </c>
      <c r="AN688">
        <v>1</v>
      </c>
      <c r="AO688" s="19">
        <v>229</v>
      </c>
      <c r="AP688">
        <v>1</v>
      </c>
      <c r="AQ688" s="19">
        <v>381</v>
      </c>
    </row>
    <row r="689" spans="1:43" x14ac:dyDescent="0.35">
      <c r="A689" s="18">
        <v>45977</v>
      </c>
      <c r="B689" t="s">
        <v>62</v>
      </c>
      <c r="C689" t="s">
        <v>61</v>
      </c>
      <c r="D689">
        <v>9</v>
      </c>
      <c r="E689">
        <v>4</v>
      </c>
      <c r="F689">
        <v>5</v>
      </c>
      <c r="G689" s="19">
        <v>4930</v>
      </c>
      <c r="H689" s="19">
        <v>3839</v>
      </c>
      <c r="I689" s="19">
        <v>1091</v>
      </c>
      <c r="J689" s="19">
        <v>250</v>
      </c>
      <c r="K689" s="19">
        <v>100</v>
      </c>
      <c r="L689" s="19">
        <v>833</v>
      </c>
      <c r="M689" s="19">
        <v>109</v>
      </c>
      <c r="N689" s="19">
        <v>73</v>
      </c>
      <c r="O689" s="19">
        <f t="shared" si="20"/>
        <v>1365</v>
      </c>
      <c r="P689" s="19">
        <f t="shared" si="21"/>
        <v>3565</v>
      </c>
      <c r="Q689" t="s">
        <v>23</v>
      </c>
      <c r="R689" t="s">
        <v>63</v>
      </c>
      <c r="T689">
        <v>1</v>
      </c>
      <c r="U689" s="19">
        <v>1600</v>
      </c>
      <c r="V689">
        <v>0</v>
      </c>
      <c r="W689" s="19">
        <v>0</v>
      </c>
      <c r="X689">
        <v>0</v>
      </c>
      <c r="Y689" s="19">
        <v>0</v>
      </c>
      <c r="Z689">
        <v>1</v>
      </c>
      <c r="AA689" s="19">
        <v>1163</v>
      </c>
      <c r="AB689">
        <v>1</v>
      </c>
      <c r="AC689" s="19">
        <v>873</v>
      </c>
      <c r="AD689">
        <v>0</v>
      </c>
      <c r="AE689" s="19">
        <v>0</v>
      </c>
      <c r="AF689">
        <v>0</v>
      </c>
      <c r="AG689" s="19">
        <v>0</v>
      </c>
      <c r="AH689">
        <v>2</v>
      </c>
      <c r="AI689" s="19">
        <v>407</v>
      </c>
      <c r="AJ689">
        <v>1</v>
      </c>
      <c r="AK689" s="19">
        <v>102</v>
      </c>
      <c r="AL689">
        <v>1</v>
      </c>
      <c r="AM689" s="19">
        <v>204</v>
      </c>
      <c r="AN689">
        <v>1</v>
      </c>
      <c r="AO689" s="19">
        <v>218</v>
      </c>
      <c r="AP689">
        <v>1</v>
      </c>
      <c r="AQ689" s="19">
        <v>364</v>
      </c>
    </row>
    <row r="690" spans="1:43" x14ac:dyDescent="0.35">
      <c r="A690" s="18">
        <v>45978</v>
      </c>
      <c r="B690" t="s">
        <v>52</v>
      </c>
      <c r="C690" t="s">
        <v>53</v>
      </c>
      <c r="D690">
        <v>7</v>
      </c>
      <c r="E690">
        <v>2</v>
      </c>
      <c r="F690">
        <v>5</v>
      </c>
      <c r="G690" s="19">
        <v>3658</v>
      </c>
      <c r="H690" s="19">
        <v>2538</v>
      </c>
      <c r="I690" s="19">
        <v>1120</v>
      </c>
      <c r="J690" s="19">
        <v>250</v>
      </c>
      <c r="K690" s="19">
        <v>100</v>
      </c>
      <c r="L690" s="19">
        <v>833</v>
      </c>
      <c r="M690" s="19">
        <v>81</v>
      </c>
      <c r="N690" s="19">
        <v>57</v>
      </c>
      <c r="O690" s="19">
        <f t="shared" si="20"/>
        <v>1321</v>
      </c>
      <c r="P690" s="19">
        <f t="shared" si="21"/>
        <v>2337</v>
      </c>
      <c r="Q690" t="s">
        <v>23</v>
      </c>
      <c r="R690" t="s">
        <v>63</v>
      </c>
      <c r="T690">
        <v>1</v>
      </c>
      <c r="U690" s="19">
        <v>1642</v>
      </c>
      <c r="V690">
        <v>0</v>
      </c>
      <c r="W690" s="19">
        <v>0</v>
      </c>
      <c r="X690">
        <v>0</v>
      </c>
      <c r="Y690" s="19">
        <v>0</v>
      </c>
      <c r="Z690">
        <v>0</v>
      </c>
      <c r="AA690" s="19">
        <v>0</v>
      </c>
      <c r="AB690">
        <v>1</v>
      </c>
      <c r="AC690" s="19">
        <v>896</v>
      </c>
      <c r="AD690">
        <v>0</v>
      </c>
      <c r="AE690" s="19">
        <v>0</v>
      </c>
      <c r="AF690">
        <v>0</v>
      </c>
      <c r="AG690" s="19">
        <v>0</v>
      </c>
      <c r="AH690">
        <v>1</v>
      </c>
      <c r="AI690" s="19">
        <v>209</v>
      </c>
      <c r="AJ690">
        <v>1</v>
      </c>
      <c r="AK690" s="19">
        <v>105</v>
      </c>
      <c r="AL690">
        <v>1</v>
      </c>
      <c r="AM690" s="19">
        <v>209</v>
      </c>
      <c r="AN690">
        <v>1</v>
      </c>
      <c r="AO690" s="19">
        <v>224</v>
      </c>
      <c r="AP690">
        <v>1</v>
      </c>
      <c r="AQ690" s="19">
        <v>373</v>
      </c>
    </row>
    <row r="691" spans="1:43" x14ac:dyDescent="0.35">
      <c r="A691" s="18">
        <v>45979</v>
      </c>
      <c r="B691" t="s">
        <v>56</v>
      </c>
      <c r="C691" t="s">
        <v>53</v>
      </c>
      <c r="D691">
        <v>7</v>
      </c>
      <c r="E691">
        <v>2</v>
      </c>
      <c r="F691">
        <v>5</v>
      </c>
      <c r="G691" s="19">
        <v>3594</v>
      </c>
      <c r="H691" s="19">
        <v>2494</v>
      </c>
      <c r="I691" s="19">
        <v>1100</v>
      </c>
      <c r="J691" s="19">
        <v>250</v>
      </c>
      <c r="K691" s="19">
        <v>100</v>
      </c>
      <c r="L691" s="19">
        <v>833</v>
      </c>
      <c r="M691" s="19">
        <v>79</v>
      </c>
      <c r="N691" s="19">
        <v>57</v>
      </c>
      <c r="O691" s="19">
        <f t="shared" si="20"/>
        <v>1319</v>
      </c>
      <c r="P691" s="19">
        <f t="shared" si="21"/>
        <v>2275</v>
      </c>
      <c r="Q691" t="s">
        <v>23</v>
      </c>
      <c r="R691" t="s">
        <v>63</v>
      </c>
      <c r="T691">
        <v>1</v>
      </c>
      <c r="U691" s="19">
        <v>1614</v>
      </c>
      <c r="V691">
        <v>0</v>
      </c>
      <c r="W691" s="19">
        <v>0</v>
      </c>
      <c r="X691">
        <v>0</v>
      </c>
      <c r="Y691" s="19">
        <v>0</v>
      </c>
      <c r="Z691">
        <v>0</v>
      </c>
      <c r="AA691" s="19">
        <v>0</v>
      </c>
      <c r="AB691">
        <v>1</v>
      </c>
      <c r="AC691" s="19">
        <v>880</v>
      </c>
      <c r="AD691">
        <v>0</v>
      </c>
      <c r="AE691" s="19">
        <v>0</v>
      </c>
      <c r="AF691">
        <v>0</v>
      </c>
      <c r="AG691" s="19">
        <v>0</v>
      </c>
      <c r="AH691">
        <v>1</v>
      </c>
      <c r="AI691" s="19">
        <v>205</v>
      </c>
      <c r="AJ691">
        <v>1</v>
      </c>
      <c r="AK691" s="19">
        <v>103</v>
      </c>
      <c r="AL691">
        <v>1</v>
      </c>
      <c r="AM691" s="19">
        <v>205</v>
      </c>
      <c r="AN691">
        <v>1</v>
      </c>
      <c r="AO691" s="19">
        <v>220</v>
      </c>
      <c r="AP691">
        <v>1</v>
      </c>
      <c r="AQ691" s="19">
        <v>367</v>
      </c>
    </row>
    <row r="692" spans="1:43" x14ac:dyDescent="0.35">
      <c r="A692" s="18">
        <v>45980</v>
      </c>
      <c r="B692" t="s">
        <v>57</v>
      </c>
      <c r="C692" t="s">
        <v>53</v>
      </c>
      <c r="D692">
        <v>7</v>
      </c>
      <c r="E692">
        <v>2</v>
      </c>
      <c r="F692">
        <v>5</v>
      </c>
      <c r="G692" s="19">
        <v>3716</v>
      </c>
      <c r="H692" s="19">
        <v>2578</v>
      </c>
      <c r="I692" s="19">
        <v>1138</v>
      </c>
      <c r="J692" s="19">
        <v>250</v>
      </c>
      <c r="K692" s="19">
        <v>100</v>
      </c>
      <c r="L692" s="19">
        <v>833</v>
      </c>
      <c r="M692" s="19">
        <v>82</v>
      </c>
      <c r="N692" s="19">
        <v>57</v>
      </c>
      <c r="O692" s="19">
        <f t="shared" si="20"/>
        <v>1322</v>
      </c>
      <c r="P692" s="19">
        <f t="shared" si="21"/>
        <v>2394</v>
      </c>
      <c r="Q692" t="s">
        <v>23</v>
      </c>
      <c r="R692" t="s">
        <v>63</v>
      </c>
      <c r="T692">
        <v>1</v>
      </c>
      <c r="U692" s="19">
        <v>1668</v>
      </c>
      <c r="V692">
        <v>0</v>
      </c>
      <c r="W692" s="19">
        <v>0</v>
      </c>
      <c r="X692">
        <v>0</v>
      </c>
      <c r="Y692" s="19">
        <v>0</v>
      </c>
      <c r="Z692">
        <v>0</v>
      </c>
      <c r="AA692" s="19">
        <v>0</v>
      </c>
      <c r="AB692">
        <v>1</v>
      </c>
      <c r="AC692" s="19">
        <v>910</v>
      </c>
      <c r="AD692">
        <v>0</v>
      </c>
      <c r="AE692" s="19">
        <v>0</v>
      </c>
      <c r="AF692">
        <v>0</v>
      </c>
      <c r="AG692" s="19">
        <v>0</v>
      </c>
      <c r="AH692">
        <v>1</v>
      </c>
      <c r="AI692" s="19">
        <v>212</v>
      </c>
      <c r="AJ692">
        <v>1</v>
      </c>
      <c r="AK692" s="19">
        <v>106</v>
      </c>
      <c r="AL692">
        <v>1</v>
      </c>
      <c r="AM692" s="19">
        <v>212</v>
      </c>
      <c r="AN692">
        <v>1</v>
      </c>
      <c r="AO692" s="19">
        <v>228</v>
      </c>
      <c r="AP692">
        <v>1</v>
      </c>
      <c r="AQ692" s="19">
        <v>379</v>
      </c>
    </row>
    <row r="693" spans="1:43" x14ac:dyDescent="0.35">
      <c r="A693" s="18">
        <v>45981</v>
      </c>
      <c r="B693" t="s">
        <v>58</v>
      </c>
      <c r="C693" t="s">
        <v>53</v>
      </c>
      <c r="D693">
        <v>7</v>
      </c>
      <c r="E693">
        <v>3</v>
      </c>
      <c r="F693">
        <v>4</v>
      </c>
      <c r="G693" s="19">
        <v>3736</v>
      </c>
      <c r="H693" s="19">
        <v>3113</v>
      </c>
      <c r="I693" s="19">
        <v>623</v>
      </c>
      <c r="J693" s="19">
        <v>250</v>
      </c>
      <c r="K693" s="19">
        <v>100</v>
      </c>
      <c r="L693" s="19">
        <v>833</v>
      </c>
      <c r="M693" s="19">
        <v>82</v>
      </c>
      <c r="N693" s="19">
        <v>57</v>
      </c>
      <c r="O693" s="19">
        <f t="shared" si="20"/>
        <v>1322</v>
      </c>
      <c r="P693" s="19">
        <f t="shared" si="21"/>
        <v>2414</v>
      </c>
      <c r="Q693" t="s">
        <v>23</v>
      </c>
      <c r="R693" t="s">
        <v>63</v>
      </c>
      <c r="T693">
        <v>1</v>
      </c>
      <c r="U693" s="19">
        <v>1370</v>
      </c>
      <c r="V693">
        <v>0</v>
      </c>
      <c r="W693" s="19">
        <v>0</v>
      </c>
      <c r="X693">
        <v>0</v>
      </c>
      <c r="Y693" s="19">
        <v>0</v>
      </c>
      <c r="Z693">
        <v>1</v>
      </c>
      <c r="AA693" s="19">
        <v>996</v>
      </c>
      <c r="AB693">
        <v>1</v>
      </c>
      <c r="AC693" s="19">
        <v>747</v>
      </c>
      <c r="AD693">
        <v>0</v>
      </c>
      <c r="AE693" s="19">
        <v>0</v>
      </c>
      <c r="AF693">
        <v>0</v>
      </c>
      <c r="AG693" s="19">
        <v>0</v>
      </c>
      <c r="AH693">
        <v>1</v>
      </c>
      <c r="AI693" s="19">
        <v>174</v>
      </c>
      <c r="AJ693">
        <v>1</v>
      </c>
      <c r="AK693" s="19">
        <v>87</v>
      </c>
      <c r="AL693">
        <v>1</v>
      </c>
      <c r="AM693" s="19">
        <v>174</v>
      </c>
      <c r="AN693">
        <v>1</v>
      </c>
      <c r="AO693" s="19">
        <v>187</v>
      </c>
      <c r="AP693">
        <v>0</v>
      </c>
      <c r="AQ693" s="19">
        <v>0</v>
      </c>
    </row>
    <row r="694" spans="1:43" x14ac:dyDescent="0.35">
      <c r="A694" s="18">
        <v>45982</v>
      </c>
      <c r="B694" t="s">
        <v>59</v>
      </c>
      <c r="C694" t="s">
        <v>53</v>
      </c>
      <c r="D694">
        <v>7</v>
      </c>
      <c r="E694">
        <v>2</v>
      </c>
      <c r="F694">
        <v>5</v>
      </c>
      <c r="G694" s="19">
        <v>4106</v>
      </c>
      <c r="H694" s="19">
        <v>2849</v>
      </c>
      <c r="I694" s="19">
        <v>1257</v>
      </c>
      <c r="J694" s="19">
        <v>250</v>
      </c>
      <c r="K694" s="19">
        <v>100</v>
      </c>
      <c r="L694" s="19">
        <v>833</v>
      </c>
      <c r="M694" s="19">
        <v>91</v>
      </c>
      <c r="N694" s="19">
        <v>57</v>
      </c>
      <c r="O694" s="19">
        <f t="shared" si="20"/>
        <v>1331</v>
      </c>
      <c r="P694" s="19">
        <f t="shared" si="21"/>
        <v>2775</v>
      </c>
      <c r="Q694" t="s">
        <v>23</v>
      </c>
      <c r="R694" t="s">
        <v>63</v>
      </c>
      <c r="T694">
        <v>1</v>
      </c>
      <c r="U694" s="19">
        <v>1844</v>
      </c>
      <c r="V694">
        <v>0</v>
      </c>
      <c r="W694" s="19">
        <v>0</v>
      </c>
      <c r="X694">
        <v>0</v>
      </c>
      <c r="Y694" s="19">
        <v>0</v>
      </c>
      <c r="Z694">
        <v>0</v>
      </c>
      <c r="AA694" s="19">
        <v>0</v>
      </c>
      <c r="AB694">
        <v>1</v>
      </c>
      <c r="AC694" s="19">
        <v>1006</v>
      </c>
      <c r="AD694">
        <v>0</v>
      </c>
      <c r="AE694" s="19">
        <v>0</v>
      </c>
      <c r="AF694">
        <v>0</v>
      </c>
      <c r="AG694" s="19">
        <v>0</v>
      </c>
      <c r="AH694">
        <v>1</v>
      </c>
      <c r="AI694" s="19">
        <v>235</v>
      </c>
      <c r="AJ694">
        <v>1</v>
      </c>
      <c r="AK694" s="19">
        <v>117</v>
      </c>
      <c r="AL694">
        <v>1</v>
      </c>
      <c r="AM694" s="19">
        <v>235</v>
      </c>
      <c r="AN694">
        <v>1</v>
      </c>
      <c r="AO694" s="19">
        <v>251</v>
      </c>
      <c r="AP694">
        <v>1</v>
      </c>
      <c r="AQ694" s="19">
        <v>419</v>
      </c>
    </row>
    <row r="695" spans="1:43" x14ac:dyDescent="0.35">
      <c r="A695" s="18">
        <v>45983</v>
      </c>
      <c r="B695" t="s">
        <v>60</v>
      </c>
      <c r="C695" t="s">
        <v>61</v>
      </c>
      <c r="D695">
        <v>10</v>
      </c>
      <c r="E695">
        <v>5</v>
      </c>
      <c r="F695">
        <v>5</v>
      </c>
      <c r="G695" s="19">
        <v>4923</v>
      </c>
      <c r="H695" s="19">
        <v>3856</v>
      </c>
      <c r="I695" s="19">
        <v>1067</v>
      </c>
      <c r="J695" s="19">
        <v>250</v>
      </c>
      <c r="K695" s="19">
        <v>100</v>
      </c>
      <c r="L695" s="19">
        <v>833</v>
      </c>
      <c r="M695" s="19">
        <v>109</v>
      </c>
      <c r="N695" s="19">
        <v>81</v>
      </c>
      <c r="O695" s="19">
        <f t="shared" si="20"/>
        <v>1373</v>
      </c>
      <c r="P695" s="19">
        <f t="shared" si="21"/>
        <v>3550</v>
      </c>
      <c r="Q695" t="s">
        <v>23</v>
      </c>
      <c r="R695" t="s">
        <v>63</v>
      </c>
      <c r="T695">
        <v>1</v>
      </c>
      <c r="U695" s="19">
        <v>1565</v>
      </c>
      <c r="V695">
        <v>0</v>
      </c>
      <c r="W695" s="19">
        <v>0</v>
      </c>
      <c r="X695">
        <v>0</v>
      </c>
      <c r="Y695" s="19">
        <v>0</v>
      </c>
      <c r="Z695">
        <v>1</v>
      </c>
      <c r="AA695" s="19">
        <v>1138</v>
      </c>
      <c r="AB695">
        <v>1</v>
      </c>
      <c r="AC695" s="19">
        <v>854</v>
      </c>
      <c r="AD695">
        <v>0</v>
      </c>
      <c r="AE695" s="19">
        <v>0</v>
      </c>
      <c r="AF695">
        <v>0</v>
      </c>
      <c r="AG695" s="19">
        <v>0</v>
      </c>
      <c r="AH695">
        <v>2</v>
      </c>
      <c r="AI695" s="19">
        <v>398</v>
      </c>
      <c r="AJ695">
        <v>2</v>
      </c>
      <c r="AK695" s="19">
        <v>199</v>
      </c>
      <c r="AL695">
        <v>1</v>
      </c>
      <c r="AM695" s="19">
        <v>199</v>
      </c>
      <c r="AN695">
        <v>1</v>
      </c>
      <c r="AO695" s="19">
        <v>213</v>
      </c>
      <c r="AP695">
        <v>1</v>
      </c>
      <c r="AQ695" s="19">
        <v>356</v>
      </c>
    </row>
    <row r="696" spans="1:43" x14ac:dyDescent="0.35">
      <c r="A696" s="18">
        <v>45984</v>
      </c>
      <c r="B696" t="s">
        <v>62</v>
      </c>
      <c r="C696" t="s">
        <v>61</v>
      </c>
      <c r="D696">
        <v>9</v>
      </c>
      <c r="E696">
        <v>4</v>
      </c>
      <c r="F696">
        <v>5</v>
      </c>
      <c r="G696" s="19">
        <v>5157</v>
      </c>
      <c r="H696" s="19">
        <v>4016</v>
      </c>
      <c r="I696" s="19">
        <v>1141</v>
      </c>
      <c r="J696" s="19">
        <v>250</v>
      </c>
      <c r="K696" s="19">
        <v>100</v>
      </c>
      <c r="L696" s="19">
        <v>833</v>
      </c>
      <c r="M696" s="19">
        <v>114</v>
      </c>
      <c r="N696" s="19">
        <v>73</v>
      </c>
      <c r="O696" s="19">
        <f t="shared" si="20"/>
        <v>1370</v>
      </c>
      <c r="P696" s="19">
        <f t="shared" si="21"/>
        <v>3787</v>
      </c>
      <c r="Q696" t="s">
        <v>23</v>
      </c>
      <c r="R696" t="s">
        <v>63</v>
      </c>
      <c r="T696">
        <v>1</v>
      </c>
      <c r="U696" s="19">
        <v>1673</v>
      </c>
      <c r="V696">
        <v>0</v>
      </c>
      <c r="W696" s="19">
        <v>0</v>
      </c>
      <c r="X696">
        <v>0</v>
      </c>
      <c r="Y696" s="19">
        <v>0</v>
      </c>
      <c r="Z696">
        <v>1</v>
      </c>
      <c r="AA696" s="19">
        <v>1217</v>
      </c>
      <c r="AB696">
        <v>1</v>
      </c>
      <c r="AC696" s="19">
        <v>913</v>
      </c>
      <c r="AD696">
        <v>0</v>
      </c>
      <c r="AE696" s="19">
        <v>0</v>
      </c>
      <c r="AF696">
        <v>0</v>
      </c>
      <c r="AG696" s="19">
        <v>0</v>
      </c>
      <c r="AH696">
        <v>2</v>
      </c>
      <c r="AI696" s="19">
        <v>426</v>
      </c>
      <c r="AJ696">
        <v>1</v>
      </c>
      <c r="AK696" s="19">
        <v>106</v>
      </c>
      <c r="AL696">
        <v>1</v>
      </c>
      <c r="AM696" s="19">
        <v>213</v>
      </c>
      <c r="AN696">
        <v>1</v>
      </c>
      <c r="AO696" s="19">
        <v>228</v>
      </c>
      <c r="AP696">
        <v>1</v>
      </c>
      <c r="AQ696" s="19">
        <v>380</v>
      </c>
    </row>
    <row r="697" spans="1:43" x14ac:dyDescent="0.35">
      <c r="A697" s="18">
        <v>45985</v>
      </c>
      <c r="B697" t="s">
        <v>52</v>
      </c>
      <c r="C697" t="s">
        <v>53</v>
      </c>
      <c r="D697">
        <v>7</v>
      </c>
      <c r="E697">
        <v>3</v>
      </c>
      <c r="F697">
        <v>4</v>
      </c>
      <c r="G697" s="19">
        <v>3734</v>
      </c>
      <c r="H697" s="19">
        <v>3112</v>
      </c>
      <c r="I697" s="19">
        <v>622</v>
      </c>
      <c r="J697" s="19">
        <v>250</v>
      </c>
      <c r="K697" s="19">
        <v>100</v>
      </c>
      <c r="L697" s="19">
        <v>833</v>
      </c>
      <c r="M697" s="19">
        <v>82</v>
      </c>
      <c r="N697" s="19">
        <v>57</v>
      </c>
      <c r="O697" s="19">
        <f t="shared" si="20"/>
        <v>1322</v>
      </c>
      <c r="P697" s="19">
        <f t="shared" si="21"/>
        <v>2412</v>
      </c>
      <c r="Q697" t="s">
        <v>23</v>
      </c>
      <c r="R697" t="s">
        <v>63</v>
      </c>
      <c r="T697">
        <v>1</v>
      </c>
      <c r="U697" s="19">
        <v>1369</v>
      </c>
      <c r="V697">
        <v>0</v>
      </c>
      <c r="W697" s="19">
        <v>0</v>
      </c>
      <c r="X697">
        <v>0</v>
      </c>
      <c r="Y697" s="19">
        <v>0</v>
      </c>
      <c r="Z697">
        <v>1</v>
      </c>
      <c r="AA697" s="19">
        <v>996</v>
      </c>
      <c r="AB697">
        <v>1</v>
      </c>
      <c r="AC697" s="19">
        <v>747</v>
      </c>
      <c r="AD697">
        <v>0</v>
      </c>
      <c r="AE697" s="19">
        <v>0</v>
      </c>
      <c r="AF697">
        <v>0</v>
      </c>
      <c r="AG697" s="19">
        <v>0</v>
      </c>
      <c r="AH697">
        <v>1</v>
      </c>
      <c r="AI697" s="19">
        <v>174</v>
      </c>
      <c r="AJ697">
        <v>1</v>
      </c>
      <c r="AK697" s="19">
        <v>87</v>
      </c>
      <c r="AL697">
        <v>1</v>
      </c>
      <c r="AM697" s="19">
        <v>174</v>
      </c>
      <c r="AN697">
        <v>1</v>
      </c>
      <c r="AO697" s="19">
        <v>187</v>
      </c>
      <c r="AP697">
        <v>0</v>
      </c>
      <c r="AQ697" s="19">
        <v>0</v>
      </c>
    </row>
    <row r="698" spans="1:43" x14ac:dyDescent="0.35">
      <c r="A698" s="18">
        <v>45986</v>
      </c>
      <c r="B698" t="s">
        <v>56</v>
      </c>
      <c r="C698" t="s">
        <v>53</v>
      </c>
      <c r="D698">
        <v>7</v>
      </c>
      <c r="E698">
        <v>2</v>
      </c>
      <c r="F698">
        <v>5</v>
      </c>
      <c r="G698" s="19">
        <v>3515</v>
      </c>
      <c r="H698" s="19">
        <v>2439</v>
      </c>
      <c r="I698" s="19">
        <v>1076</v>
      </c>
      <c r="J698" s="19">
        <v>250</v>
      </c>
      <c r="K698" s="19">
        <v>100</v>
      </c>
      <c r="L698" s="19">
        <v>833</v>
      </c>
      <c r="M698" s="19">
        <v>78</v>
      </c>
      <c r="N698" s="19">
        <v>57</v>
      </c>
      <c r="O698" s="19">
        <f t="shared" si="20"/>
        <v>1318</v>
      </c>
      <c r="P698" s="19">
        <f t="shared" si="21"/>
        <v>2197</v>
      </c>
      <c r="Q698" t="s">
        <v>23</v>
      </c>
      <c r="R698" t="s">
        <v>63</v>
      </c>
      <c r="T698">
        <v>1</v>
      </c>
      <c r="U698" s="19">
        <v>1578</v>
      </c>
      <c r="V698">
        <v>0</v>
      </c>
      <c r="W698" s="19">
        <v>0</v>
      </c>
      <c r="X698">
        <v>0</v>
      </c>
      <c r="Y698" s="19">
        <v>0</v>
      </c>
      <c r="Z698">
        <v>0</v>
      </c>
      <c r="AA698" s="19">
        <v>0</v>
      </c>
      <c r="AB698">
        <v>1</v>
      </c>
      <c r="AC698" s="19">
        <v>861</v>
      </c>
      <c r="AD698">
        <v>0</v>
      </c>
      <c r="AE698" s="19">
        <v>0</v>
      </c>
      <c r="AF698">
        <v>0</v>
      </c>
      <c r="AG698" s="19">
        <v>0</v>
      </c>
      <c r="AH698">
        <v>1</v>
      </c>
      <c r="AI698" s="19">
        <v>201</v>
      </c>
      <c r="AJ698">
        <v>1</v>
      </c>
      <c r="AK698" s="19">
        <v>100</v>
      </c>
      <c r="AL698">
        <v>1</v>
      </c>
      <c r="AM698" s="19">
        <v>201</v>
      </c>
      <c r="AN698">
        <v>1</v>
      </c>
      <c r="AO698" s="19">
        <v>215</v>
      </c>
      <c r="AP698">
        <v>1</v>
      </c>
      <c r="AQ698" s="19">
        <v>359</v>
      </c>
    </row>
    <row r="699" spans="1:43" x14ac:dyDescent="0.35">
      <c r="A699" s="18">
        <v>45987</v>
      </c>
      <c r="B699" t="s">
        <v>57</v>
      </c>
      <c r="C699" t="s">
        <v>53</v>
      </c>
      <c r="D699">
        <v>8</v>
      </c>
      <c r="E699">
        <v>3</v>
      </c>
      <c r="F699">
        <v>5</v>
      </c>
      <c r="G699" s="19">
        <v>4135</v>
      </c>
      <c r="H699" s="19">
        <v>2938</v>
      </c>
      <c r="I699" s="19">
        <v>1197</v>
      </c>
      <c r="J699" s="19">
        <v>250</v>
      </c>
      <c r="K699" s="19">
        <v>100</v>
      </c>
      <c r="L699" s="19">
        <v>833</v>
      </c>
      <c r="M699" s="19">
        <v>91</v>
      </c>
      <c r="N699" s="19">
        <v>65</v>
      </c>
      <c r="O699" s="19">
        <f t="shared" si="20"/>
        <v>1339</v>
      </c>
      <c r="P699" s="19">
        <f t="shared" si="21"/>
        <v>2796</v>
      </c>
      <c r="Q699" t="s">
        <v>23</v>
      </c>
      <c r="R699" t="s">
        <v>63</v>
      </c>
      <c r="T699">
        <v>1</v>
      </c>
      <c r="U699" s="19">
        <v>1756</v>
      </c>
      <c r="V699">
        <v>0</v>
      </c>
      <c r="W699" s="19">
        <v>0</v>
      </c>
      <c r="X699">
        <v>0</v>
      </c>
      <c r="Y699" s="19">
        <v>0</v>
      </c>
      <c r="Z699">
        <v>0</v>
      </c>
      <c r="AA699" s="19">
        <v>0</v>
      </c>
      <c r="AB699">
        <v>1</v>
      </c>
      <c r="AC699" s="19">
        <v>958</v>
      </c>
      <c r="AD699">
        <v>0</v>
      </c>
      <c r="AE699" s="19">
        <v>0</v>
      </c>
      <c r="AF699">
        <v>0</v>
      </c>
      <c r="AG699" s="19">
        <v>0</v>
      </c>
      <c r="AH699">
        <v>2</v>
      </c>
      <c r="AI699" s="19">
        <v>447</v>
      </c>
      <c r="AJ699">
        <v>1</v>
      </c>
      <c r="AK699" s="19">
        <v>112</v>
      </c>
      <c r="AL699">
        <v>1</v>
      </c>
      <c r="AM699" s="19">
        <v>224</v>
      </c>
      <c r="AN699">
        <v>1</v>
      </c>
      <c r="AO699" s="19">
        <v>239</v>
      </c>
      <c r="AP699">
        <v>1</v>
      </c>
      <c r="AQ699" s="19">
        <v>399</v>
      </c>
    </row>
    <row r="700" spans="1:43" x14ac:dyDescent="0.35">
      <c r="A700" s="18">
        <v>45988</v>
      </c>
      <c r="B700" t="s">
        <v>58</v>
      </c>
      <c r="C700" t="s">
        <v>53</v>
      </c>
      <c r="D700">
        <v>7</v>
      </c>
      <c r="E700">
        <v>3</v>
      </c>
      <c r="F700">
        <v>4</v>
      </c>
      <c r="G700" s="19">
        <v>3830</v>
      </c>
      <c r="H700" s="19">
        <v>3192</v>
      </c>
      <c r="I700" s="19">
        <v>638</v>
      </c>
      <c r="J700" s="19">
        <v>250</v>
      </c>
      <c r="K700" s="19">
        <v>100</v>
      </c>
      <c r="L700" s="19">
        <v>833</v>
      </c>
      <c r="M700" s="19">
        <v>84</v>
      </c>
      <c r="N700" s="19">
        <v>57</v>
      </c>
      <c r="O700" s="19">
        <f t="shared" si="20"/>
        <v>1324</v>
      </c>
      <c r="P700" s="19">
        <f t="shared" si="21"/>
        <v>2506</v>
      </c>
      <c r="Q700" t="s">
        <v>23</v>
      </c>
      <c r="R700" t="s">
        <v>63</v>
      </c>
      <c r="T700">
        <v>1</v>
      </c>
      <c r="U700" s="19">
        <v>1404</v>
      </c>
      <c r="V700">
        <v>0</v>
      </c>
      <c r="W700" s="19">
        <v>0</v>
      </c>
      <c r="X700">
        <v>0</v>
      </c>
      <c r="Y700" s="19">
        <v>0</v>
      </c>
      <c r="Z700">
        <v>1</v>
      </c>
      <c r="AA700" s="19">
        <v>1021</v>
      </c>
      <c r="AB700">
        <v>1</v>
      </c>
      <c r="AC700" s="19">
        <v>766</v>
      </c>
      <c r="AD700">
        <v>0</v>
      </c>
      <c r="AE700" s="19">
        <v>0</v>
      </c>
      <c r="AF700">
        <v>0</v>
      </c>
      <c r="AG700" s="19">
        <v>0</v>
      </c>
      <c r="AH700">
        <v>1</v>
      </c>
      <c r="AI700" s="19">
        <v>179</v>
      </c>
      <c r="AJ700">
        <v>1</v>
      </c>
      <c r="AK700" s="19">
        <v>89</v>
      </c>
      <c r="AL700">
        <v>1</v>
      </c>
      <c r="AM700" s="19">
        <v>179</v>
      </c>
      <c r="AN700">
        <v>1</v>
      </c>
      <c r="AO700" s="19">
        <v>192</v>
      </c>
      <c r="AP700">
        <v>0</v>
      </c>
      <c r="AQ700" s="19">
        <v>0</v>
      </c>
    </row>
    <row r="701" spans="1:43" x14ac:dyDescent="0.35">
      <c r="A701" s="18">
        <v>45989</v>
      </c>
      <c r="B701" t="s">
        <v>59</v>
      </c>
      <c r="C701" t="s">
        <v>53</v>
      </c>
      <c r="D701">
        <v>8</v>
      </c>
      <c r="E701">
        <v>2</v>
      </c>
      <c r="F701">
        <v>6</v>
      </c>
      <c r="G701" s="19">
        <v>3989</v>
      </c>
      <c r="H701" s="19">
        <v>1966</v>
      </c>
      <c r="I701" s="19">
        <v>2023</v>
      </c>
      <c r="J701" s="19">
        <v>250</v>
      </c>
      <c r="K701" s="19">
        <v>100</v>
      </c>
      <c r="L701" s="19">
        <v>833</v>
      </c>
      <c r="M701" s="19">
        <v>88</v>
      </c>
      <c r="N701" s="19">
        <v>65</v>
      </c>
      <c r="O701" s="19">
        <f t="shared" si="20"/>
        <v>1336</v>
      </c>
      <c r="P701" s="19">
        <f t="shared" si="21"/>
        <v>2653</v>
      </c>
      <c r="Q701" t="s">
        <v>23</v>
      </c>
      <c r="R701" t="s">
        <v>63</v>
      </c>
      <c r="T701">
        <v>1</v>
      </c>
      <c r="U701" s="19">
        <v>1272</v>
      </c>
      <c r="V701">
        <v>0</v>
      </c>
      <c r="W701" s="19">
        <v>0</v>
      </c>
      <c r="X701">
        <v>0</v>
      </c>
      <c r="Y701" s="19">
        <v>0</v>
      </c>
      <c r="Z701">
        <v>0</v>
      </c>
      <c r="AA701" s="19">
        <v>0</v>
      </c>
      <c r="AB701">
        <v>1</v>
      </c>
      <c r="AC701" s="19">
        <v>694</v>
      </c>
      <c r="AD701">
        <v>1</v>
      </c>
      <c r="AE701" s="19">
        <v>1156</v>
      </c>
      <c r="AF701">
        <v>0</v>
      </c>
      <c r="AG701" s="19">
        <v>0</v>
      </c>
      <c r="AH701">
        <v>1</v>
      </c>
      <c r="AI701" s="19">
        <v>162</v>
      </c>
      <c r="AJ701">
        <v>1</v>
      </c>
      <c r="AK701" s="19">
        <v>81</v>
      </c>
      <c r="AL701">
        <v>1</v>
      </c>
      <c r="AM701" s="19">
        <v>162</v>
      </c>
      <c r="AN701">
        <v>1</v>
      </c>
      <c r="AO701" s="19">
        <v>173</v>
      </c>
      <c r="AP701">
        <v>1</v>
      </c>
      <c r="AQ701" s="19">
        <v>289</v>
      </c>
    </row>
    <row r="702" spans="1:43" x14ac:dyDescent="0.35">
      <c r="A702" s="18">
        <v>45990</v>
      </c>
      <c r="B702" t="s">
        <v>60</v>
      </c>
      <c r="C702" t="s">
        <v>61</v>
      </c>
      <c r="D702">
        <v>9</v>
      </c>
      <c r="E702">
        <v>4</v>
      </c>
      <c r="F702">
        <v>5</v>
      </c>
      <c r="G702" s="19">
        <v>4782</v>
      </c>
      <c r="H702" s="19">
        <v>3724</v>
      </c>
      <c r="I702" s="19">
        <v>1058</v>
      </c>
      <c r="J702" s="19">
        <v>250</v>
      </c>
      <c r="K702" s="19">
        <v>100</v>
      </c>
      <c r="L702" s="19">
        <v>833</v>
      </c>
      <c r="M702" s="19">
        <v>105</v>
      </c>
      <c r="N702" s="19">
        <v>73</v>
      </c>
      <c r="O702" s="19">
        <f t="shared" si="20"/>
        <v>1361</v>
      </c>
      <c r="P702" s="19">
        <f t="shared" si="21"/>
        <v>3421</v>
      </c>
      <c r="Q702" t="s">
        <v>23</v>
      </c>
      <c r="R702" t="s">
        <v>63</v>
      </c>
      <c r="T702">
        <v>1</v>
      </c>
      <c r="U702" s="19">
        <v>1552</v>
      </c>
      <c r="V702">
        <v>0</v>
      </c>
      <c r="W702" s="19">
        <v>0</v>
      </c>
      <c r="X702">
        <v>0</v>
      </c>
      <c r="Y702" s="19">
        <v>0</v>
      </c>
      <c r="Z702">
        <v>1</v>
      </c>
      <c r="AA702" s="19">
        <v>1128</v>
      </c>
      <c r="AB702">
        <v>1</v>
      </c>
      <c r="AC702" s="19">
        <v>846</v>
      </c>
      <c r="AD702">
        <v>0</v>
      </c>
      <c r="AE702" s="19">
        <v>0</v>
      </c>
      <c r="AF702">
        <v>0</v>
      </c>
      <c r="AG702" s="19">
        <v>0</v>
      </c>
      <c r="AH702">
        <v>2</v>
      </c>
      <c r="AI702" s="19">
        <v>395</v>
      </c>
      <c r="AJ702">
        <v>1</v>
      </c>
      <c r="AK702" s="19">
        <v>99</v>
      </c>
      <c r="AL702">
        <v>1</v>
      </c>
      <c r="AM702" s="19">
        <v>197</v>
      </c>
      <c r="AN702">
        <v>1</v>
      </c>
      <c r="AO702" s="19">
        <v>212</v>
      </c>
      <c r="AP702">
        <v>1</v>
      </c>
      <c r="AQ702" s="19">
        <v>353</v>
      </c>
    </row>
    <row r="703" spans="1:43" x14ac:dyDescent="0.35">
      <c r="A703" s="18">
        <v>45991</v>
      </c>
      <c r="B703" t="s">
        <v>62</v>
      </c>
      <c r="C703" t="s">
        <v>61</v>
      </c>
      <c r="D703">
        <v>9</v>
      </c>
      <c r="E703">
        <v>3</v>
      </c>
      <c r="F703">
        <v>6</v>
      </c>
      <c r="G703" s="19">
        <v>5005</v>
      </c>
      <c r="H703" s="19">
        <v>2565</v>
      </c>
      <c r="I703" s="19">
        <v>2440</v>
      </c>
      <c r="J703" s="19">
        <v>250</v>
      </c>
      <c r="K703" s="19">
        <v>100</v>
      </c>
      <c r="L703" s="19">
        <v>833</v>
      </c>
      <c r="M703" s="19">
        <v>110</v>
      </c>
      <c r="N703" s="19">
        <v>73</v>
      </c>
      <c r="O703" s="19">
        <f t="shared" si="20"/>
        <v>1366</v>
      </c>
      <c r="P703" s="19">
        <f t="shared" si="21"/>
        <v>3639</v>
      </c>
      <c r="Q703" t="s">
        <v>23</v>
      </c>
      <c r="R703" t="s">
        <v>63</v>
      </c>
      <c r="T703">
        <v>1</v>
      </c>
      <c r="U703" s="19">
        <v>1534</v>
      </c>
      <c r="V703">
        <v>0</v>
      </c>
      <c r="W703" s="19">
        <v>0</v>
      </c>
      <c r="X703">
        <v>0</v>
      </c>
      <c r="Y703" s="19">
        <v>0</v>
      </c>
      <c r="Z703">
        <v>0</v>
      </c>
      <c r="AA703" s="19">
        <v>0</v>
      </c>
      <c r="AB703">
        <v>1</v>
      </c>
      <c r="AC703" s="19">
        <v>836</v>
      </c>
      <c r="AD703">
        <v>1</v>
      </c>
      <c r="AE703" s="19">
        <v>1394</v>
      </c>
      <c r="AF703">
        <v>0</v>
      </c>
      <c r="AG703" s="19">
        <v>0</v>
      </c>
      <c r="AH703">
        <v>2</v>
      </c>
      <c r="AI703" s="19">
        <v>390</v>
      </c>
      <c r="AJ703">
        <v>1</v>
      </c>
      <c r="AK703" s="19">
        <v>98</v>
      </c>
      <c r="AL703">
        <v>1</v>
      </c>
      <c r="AM703" s="19">
        <v>195</v>
      </c>
      <c r="AN703">
        <v>1</v>
      </c>
      <c r="AO703" s="19">
        <v>209</v>
      </c>
      <c r="AP703">
        <v>1</v>
      </c>
      <c r="AQ703" s="19">
        <v>349</v>
      </c>
    </row>
    <row r="704" spans="1:43" x14ac:dyDescent="0.35">
      <c r="A704" s="18">
        <v>45992</v>
      </c>
      <c r="B704" t="s">
        <v>52</v>
      </c>
      <c r="C704" t="s">
        <v>53</v>
      </c>
      <c r="D704">
        <v>11</v>
      </c>
      <c r="E704">
        <v>5</v>
      </c>
      <c r="F704">
        <v>6</v>
      </c>
      <c r="G704" s="19">
        <v>5758</v>
      </c>
      <c r="H704" s="19">
        <v>3499</v>
      </c>
      <c r="I704" s="19">
        <v>2259</v>
      </c>
      <c r="J704" s="19">
        <v>290</v>
      </c>
      <c r="K704" s="19">
        <v>113</v>
      </c>
      <c r="L704" s="19">
        <v>806</v>
      </c>
      <c r="M704" s="19">
        <v>127</v>
      </c>
      <c r="N704" s="19">
        <v>89</v>
      </c>
      <c r="O704" s="19">
        <f t="shared" si="20"/>
        <v>1425</v>
      </c>
      <c r="P704" s="19">
        <f t="shared" si="21"/>
        <v>4333</v>
      </c>
      <c r="Q704" t="s">
        <v>23</v>
      </c>
      <c r="R704" t="s">
        <v>66</v>
      </c>
      <c r="T704">
        <v>1</v>
      </c>
      <c r="U704" s="19">
        <v>1420</v>
      </c>
      <c r="V704">
        <v>0</v>
      </c>
      <c r="W704" s="19">
        <v>0</v>
      </c>
      <c r="X704">
        <v>0</v>
      </c>
      <c r="Y704" s="19">
        <v>0</v>
      </c>
      <c r="Z704">
        <v>1</v>
      </c>
      <c r="AA704" s="19">
        <v>1033</v>
      </c>
      <c r="AB704">
        <v>1</v>
      </c>
      <c r="AC704" s="19">
        <v>775</v>
      </c>
      <c r="AD704">
        <v>1</v>
      </c>
      <c r="AE704" s="19">
        <v>1291</v>
      </c>
      <c r="AF704">
        <v>0</v>
      </c>
      <c r="AG704" s="19">
        <v>0</v>
      </c>
      <c r="AH704">
        <v>2</v>
      </c>
      <c r="AI704" s="19">
        <v>361</v>
      </c>
      <c r="AJ704">
        <v>2</v>
      </c>
      <c r="AK704" s="19">
        <v>181</v>
      </c>
      <c r="AL704">
        <v>1</v>
      </c>
      <c r="AM704" s="19">
        <v>181</v>
      </c>
      <c r="AN704">
        <v>1</v>
      </c>
      <c r="AO704" s="19">
        <v>194</v>
      </c>
      <c r="AP704">
        <v>1</v>
      </c>
      <c r="AQ704" s="19">
        <v>323</v>
      </c>
    </row>
    <row r="705" spans="1:43" x14ac:dyDescent="0.35">
      <c r="A705" s="18">
        <v>45993</v>
      </c>
      <c r="B705" t="s">
        <v>56</v>
      </c>
      <c r="C705" t="s">
        <v>53</v>
      </c>
      <c r="D705">
        <v>10</v>
      </c>
      <c r="E705">
        <v>5</v>
      </c>
      <c r="F705">
        <v>5</v>
      </c>
      <c r="G705" s="19">
        <v>5427</v>
      </c>
      <c r="H705" s="19">
        <v>4251</v>
      </c>
      <c r="I705" s="19">
        <v>1176</v>
      </c>
      <c r="J705" s="19">
        <v>290</v>
      </c>
      <c r="K705" s="19">
        <v>113</v>
      </c>
      <c r="L705" s="19">
        <v>806</v>
      </c>
      <c r="M705" s="19">
        <v>120</v>
      </c>
      <c r="N705" s="19">
        <v>81</v>
      </c>
      <c r="O705" s="19">
        <f t="shared" si="20"/>
        <v>1410</v>
      </c>
      <c r="P705" s="19">
        <f t="shared" si="21"/>
        <v>4017</v>
      </c>
      <c r="Q705" t="s">
        <v>23</v>
      </c>
      <c r="R705" t="s">
        <v>66</v>
      </c>
      <c r="T705">
        <v>1</v>
      </c>
      <c r="U705" s="19">
        <v>1725</v>
      </c>
      <c r="V705">
        <v>0</v>
      </c>
      <c r="W705" s="19">
        <v>0</v>
      </c>
      <c r="X705">
        <v>0</v>
      </c>
      <c r="Y705" s="19">
        <v>0</v>
      </c>
      <c r="Z705">
        <v>1</v>
      </c>
      <c r="AA705" s="19">
        <v>1255</v>
      </c>
      <c r="AB705">
        <v>1</v>
      </c>
      <c r="AC705" s="19">
        <v>941</v>
      </c>
      <c r="AD705">
        <v>0</v>
      </c>
      <c r="AE705" s="19">
        <v>0</v>
      </c>
      <c r="AF705">
        <v>0</v>
      </c>
      <c r="AG705" s="19">
        <v>0</v>
      </c>
      <c r="AH705">
        <v>2</v>
      </c>
      <c r="AI705" s="19">
        <v>439</v>
      </c>
      <c r="AJ705">
        <v>2</v>
      </c>
      <c r="AK705" s="19">
        <v>220</v>
      </c>
      <c r="AL705">
        <v>1</v>
      </c>
      <c r="AM705" s="19">
        <v>220</v>
      </c>
      <c r="AN705">
        <v>1</v>
      </c>
      <c r="AO705" s="19">
        <v>235</v>
      </c>
      <c r="AP705">
        <v>1</v>
      </c>
      <c r="AQ705" s="19">
        <v>392</v>
      </c>
    </row>
    <row r="706" spans="1:43" x14ac:dyDescent="0.35">
      <c r="A706" s="18">
        <v>45994</v>
      </c>
      <c r="B706" t="s">
        <v>57</v>
      </c>
      <c r="C706" t="s">
        <v>53</v>
      </c>
      <c r="D706">
        <v>11</v>
      </c>
      <c r="E706">
        <v>6</v>
      </c>
      <c r="F706">
        <v>5</v>
      </c>
      <c r="G706" s="19">
        <v>5727</v>
      </c>
      <c r="H706" s="19">
        <v>4534</v>
      </c>
      <c r="I706" s="19">
        <v>1193</v>
      </c>
      <c r="J706" s="19">
        <v>290</v>
      </c>
      <c r="K706" s="19">
        <v>113</v>
      </c>
      <c r="L706" s="19">
        <v>806</v>
      </c>
      <c r="M706" s="19">
        <v>126</v>
      </c>
      <c r="N706" s="19">
        <v>89</v>
      </c>
      <c r="O706" s="19">
        <f t="shared" si="20"/>
        <v>1424</v>
      </c>
      <c r="P706" s="19">
        <f t="shared" si="21"/>
        <v>4303</v>
      </c>
      <c r="Q706" t="s">
        <v>23</v>
      </c>
      <c r="R706" t="s">
        <v>66</v>
      </c>
      <c r="T706">
        <v>1</v>
      </c>
      <c r="U706" s="19">
        <v>1750</v>
      </c>
      <c r="V706">
        <v>0</v>
      </c>
      <c r="W706" s="19">
        <v>0</v>
      </c>
      <c r="X706">
        <v>0</v>
      </c>
      <c r="Y706" s="19">
        <v>0</v>
      </c>
      <c r="Z706">
        <v>1</v>
      </c>
      <c r="AA706" s="19">
        <v>1273</v>
      </c>
      <c r="AB706">
        <v>1</v>
      </c>
      <c r="AC706" s="19">
        <v>954</v>
      </c>
      <c r="AD706">
        <v>0</v>
      </c>
      <c r="AE706" s="19">
        <v>0</v>
      </c>
      <c r="AF706">
        <v>0</v>
      </c>
      <c r="AG706" s="19">
        <v>0</v>
      </c>
      <c r="AH706">
        <v>2</v>
      </c>
      <c r="AI706" s="19">
        <v>445</v>
      </c>
      <c r="AJ706">
        <v>2</v>
      </c>
      <c r="AK706" s="19">
        <v>223</v>
      </c>
      <c r="AL706">
        <v>2</v>
      </c>
      <c r="AM706" s="19">
        <v>445</v>
      </c>
      <c r="AN706">
        <v>1</v>
      </c>
      <c r="AO706" s="19">
        <v>239</v>
      </c>
      <c r="AP706">
        <v>1</v>
      </c>
      <c r="AQ706" s="19">
        <v>398</v>
      </c>
    </row>
    <row r="707" spans="1:43" x14ac:dyDescent="0.35">
      <c r="A707" s="18">
        <v>45995</v>
      </c>
      <c r="B707" t="s">
        <v>58</v>
      </c>
      <c r="C707" t="s">
        <v>53</v>
      </c>
      <c r="D707">
        <v>11</v>
      </c>
      <c r="E707">
        <v>5</v>
      </c>
      <c r="F707">
        <v>6</v>
      </c>
      <c r="G707" s="19">
        <v>6215</v>
      </c>
      <c r="H707" s="19">
        <v>3776</v>
      </c>
      <c r="I707" s="19">
        <v>2439</v>
      </c>
      <c r="J707" s="19">
        <v>290</v>
      </c>
      <c r="K707" s="19">
        <v>113</v>
      </c>
      <c r="L707" s="19">
        <v>806</v>
      </c>
      <c r="M707" s="19">
        <v>137</v>
      </c>
      <c r="N707" s="19">
        <v>89</v>
      </c>
      <c r="O707" s="19">
        <f t="shared" si="20"/>
        <v>1435</v>
      </c>
      <c r="P707" s="19">
        <f t="shared" si="21"/>
        <v>4780</v>
      </c>
      <c r="Q707" t="s">
        <v>23</v>
      </c>
      <c r="R707" t="s">
        <v>66</v>
      </c>
      <c r="T707">
        <v>1</v>
      </c>
      <c r="U707" s="19">
        <v>1533</v>
      </c>
      <c r="V707">
        <v>0</v>
      </c>
      <c r="W707" s="19">
        <v>0</v>
      </c>
      <c r="X707">
        <v>0</v>
      </c>
      <c r="Y707" s="19">
        <v>0</v>
      </c>
      <c r="Z707">
        <v>1</v>
      </c>
      <c r="AA707" s="19">
        <v>1115</v>
      </c>
      <c r="AB707">
        <v>1</v>
      </c>
      <c r="AC707" s="19">
        <v>836</v>
      </c>
      <c r="AD707">
        <v>1</v>
      </c>
      <c r="AE707" s="19">
        <v>1394</v>
      </c>
      <c r="AF707">
        <v>0</v>
      </c>
      <c r="AG707" s="19">
        <v>0</v>
      </c>
      <c r="AH707">
        <v>2</v>
      </c>
      <c r="AI707" s="19">
        <v>390</v>
      </c>
      <c r="AJ707">
        <v>2</v>
      </c>
      <c r="AK707" s="19">
        <v>195</v>
      </c>
      <c r="AL707">
        <v>1</v>
      </c>
      <c r="AM707" s="19">
        <v>195</v>
      </c>
      <c r="AN707">
        <v>1</v>
      </c>
      <c r="AO707" s="19">
        <v>209</v>
      </c>
      <c r="AP707">
        <v>1</v>
      </c>
      <c r="AQ707" s="19">
        <v>348</v>
      </c>
    </row>
    <row r="708" spans="1:43" x14ac:dyDescent="0.35">
      <c r="A708" s="18">
        <v>45996</v>
      </c>
      <c r="B708" t="s">
        <v>59</v>
      </c>
      <c r="C708" t="s">
        <v>53</v>
      </c>
      <c r="D708">
        <v>12</v>
      </c>
      <c r="E708">
        <v>6</v>
      </c>
      <c r="F708">
        <v>6</v>
      </c>
      <c r="G708" s="19">
        <v>6232</v>
      </c>
      <c r="H708" s="19">
        <v>3861</v>
      </c>
      <c r="I708" s="19">
        <v>2371</v>
      </c>
      <c r="J708" s="19">
        <v>290</v>
      </c>
      <c r="K708" s="19">
        <v>113</v>
      </c>
      <c r="L708" s="19">
        <v>806</v>
      </c>
      <c r="M708" s="19">
        <v>137</v>
      </c>
      <c r="N708" s="19">
        <v>97</v>
      </c>
      <c r="O708" s="19">
        <f t="shared" ref="O708:O771" si="22">SUM(J708:N708)</f>
        <v>1443</v>
      </c>
      <c r="P708" s="19">
        <f t="shared" ref="P708:P771" si="23">G708-O708</f>
        <v>4789</v>
      </c>
      <c r="Q708" t="s">
        <v>23</v>
      </c>
      <c r="R708" t="s">
        <v>66</v>
      </c>
      <c r="T708">
        <v>1</v>
      </c>
      <c r="U708" s="19">
        <v>1490</v>
      </c>
      <c r="V708">
        <v>0</v>
      </c>
      <c r="W708" s="19">
        <v>0</v>
      </c>
      <c r="X708">
        <v>0</v>
      </c>
      <c r="Y708" s="19">
        <v>0</v>
      </c>
      <c r="Z708">
        <v>1</v>
      </c>
      <c r="AA708" s="19">
        <v>1084</v>
      </c>
      <c r="AB708">
        <v>1</v>
      </c>
      <c r="AC708" s="19">
        <v>813</v>
      </c>
      <c r="AD708">
        <v>1</v>
      </c>
      <c r="AE708" s="19">
        <v>1355</v>
      </c>
      <c r="AF708">
        <v>0</v>
      </c>
      <c r="AG708" s="19">
        <v>0</v>
      </c>
      <c r="AH708">
        <v>2</v>
      </c>
      <c r="AI708" s="19">
        <v>379</v>
      </c>
      <c r="AJ708">
        <v>2</v>
      </c>
      <c r="AK708" s="19">
        <v>190</v>
      </c>
      <c r="AL708">
        <v>2</v>
      </c>
      <c r="AM708" s="19">
        <v>379</v>
      </c>
      <c r="AN708">
        <v>1</v>
      </c>
      <c r="AO708" s="19">
        <v>203</v>
      </c>
      <c r="AP708">
        <v>1</v>
      </c>
      <c r="AQ708" s="19">
        <v>339</v>
      </c>
    </row>
    <row r="709" spans="1:43" x14ac:dyDescent="0.35">
      <c r="A709" s="18">
        <v>45997</v>
      </c>
      <c r="B709" t="s">
        <v>60</v>
      </c>
      <c r="C709" t="s">
        <v>61</v>
      </c>
      <c r="D709">
        <v>16</v>
      </c>
      <c r="E709">
        <v>9</v>
      </c>
      <c r="F709">
        <v>7</v>
      </c>
      <c r="G709" s="19">
        <v>8496</v>
      </c>
      <c r="H709" s="19">
        <v>6670</v>
      </c>
      <c r="I709" s="19">
        <v>1826</v>
      </c>
      <c r="J709" s="19">
        <v>290</v>
      </c>
      <c r="K709" s="19">
        <v>113</v>
      </c>
      <c r="L709" s="19">
        <v>806</v>
      </c>
      <c r="M709" s="19">
        <v>187</v>
      </c>
      <c r="N709" s="19">
        <v>130</v>
      </c>
      <c r="O709" s="19">
        <f t="shared" si="22"/>
        <v>1526</v>
      </c>
      <c r="P709" s="19">
        <f t="shared" si="23"/>
        <v>6970</v>
      </c>
      <c r="Q709" t="s">
        <v>24</v>
      </c>
      <c r="R709" t="s">
        <v>66</v>
      </c>
      <c r="T709">
        <v>1</v>
      </c>
      <c r="U709" s="19">
        <v>1103</v>
      </c>
      <c r="V709">
        <v>1</v>
      </c>
      <c r="W709" s="19">
        <v>1906</v>
      </c>
      <c r="X709">
        <v>1</v>
      </c>
      <c r="Y709" s="19">
        <v>1755</v>
      </c>
      <c r="Z709">
        <v>1</v>
      </c>
      <c r="AA709" s="19">
        <v>802</v>
      </c>
      <c r="AB709">
        <v>1</v>
      </c>
      <c r="AC709" s="19">
        <v>602</v>
      </c>
      <c r="AD709">
        <v>1</v>
      </c>
      <c r="AE709" s="19">
        <v>1003</v>
      </c>
      <c r="AF709">
        <v>0</v>
      </c>
      <c r="AG709" s="19">
        <v>0</v>
      </c>
      <c r="AH709">
        <v>2</v>
      </c>
      <c r="AI709" s="19">
        <v>281</v>
      </c>
      <c r="AJ709">
        <v>3</v>
      </c>
      <c r="AK709" s="19">
        <v>211</v>
      </c>
      <c r="AL709">
        <v>2</v>
      </c>
      <c r="AM709" s="19">
        <v>281</v>
      </c>
      <c r="AN709">
        <v>2</v>
      </c>
      <c r="AO709" s="19">
        <v>301</v>
      </c>
      <c r="AP709">
        <v>1</v>
      </c>
      <c r="AQ709" s="19">
        <v>251</v>
      </c>
    </row>
    <row r="710" spans="1:43" x14ac:dyDescent="0.35">
      <c r="A710" s="18">
        <v>45998</v>
      </c>
      <c r="B710" t="s">
        <v>62</v>
      </c>
      <c r="C710" t="s">
        <v>61</v>
      </c>
      <c r="D710">
        <v>13</v>
      </c>
      <c r="E710">
        <v>7</v>
      </c>
      <c r="F710">
        <v>6</v>
      </c>
      <c r="G710" s="19">
        <v>6894</v>
      </c>
      <c r="H710" s="19">
        <v>4994</v>
      </c>
      <c r="I710" s="19">
        <v>1900</v>
      </c>
      <c r="J710" s="19">
        <v>290</v>
      </c>
      <c r="K710" s="19">
        <v>113</v>
      </c>
      <c r="L710" s="19">
        <v>806</v>
      </c>
      <c r="M710" s="19">
        <v>152</v>
      </c>
      <c r="N710" s="19">
        <v>105</v>
      </c>
      <c r="O710" s="19">
        <f t="shared" si="22"/>
        <v>1466</v>
      </c>
      <c r="P710" s="19">
        <f t="shared" si="23"/>
        <v>5428</v>
      </c>
      <c r="Q710" t="s">
        <v>25</v>
      </c>
      <c r="R710" t="s">
        <v>66</v>
      </c>
      <c r="T710">
        <v>1</v>
      </c>
      <c r="U710" s="19">
        <v>1194</v>
      </c>
      <c r="V710">
        <v>0</v>
      </c>
      <c r="W710" s="19">
        <v>0</v>
      </c>
      <c r="X710">
        <v>1</v>
      </c>
      <c r="Y710" s="19">
        <v>1900</v>
      </c>
      <c r="Z710">
        <v>1</v>
      </c>
      <c r="AA710" s="19">
        <v>869</v>
      </c>
      <c r="AB710">
        <v>1</v>
      </c>
      <c r="AC710" s="19">
        <v>651</v>
      </c>
      <c r="AD710">
        <v>1</v>
      </c>
      <c r="AE710" s="19">
        <v>1086</v>
      </c>
      <c r="AF710">
        <v>0</v>
      </c>
      <c r="AG710" s="19">
        <v>0</v>
      </c>
      <c r="AH710">
        <v>2</v>
      </c>
      <c r="AI710" s="19">
        <v>304</v>
      </c>
      <c r="AJ710">
        <v>2</v>
      </c>
      <c r="AK710" s="19">
        <v>152</v>
      </c>
      <c r="AL710">
        <v>2</v>
      </c>
      <c r="AM710" s="19">
        <v>304</v>
      </c>
      <c r="AN710">
        <v>1</v>
      </c>
      <c r="AO710" s="19">
        <v>163</v>
      </c>
      <c r="AP710">
        <v>1</v>
      </c>
      <c r="AQ710" s="19">
        <v>271</v>
      </c>
    </row>
    <row r="711" spans="1:43" x14ac:dyDescent="0.35">
      <c r="A711" s="18">
        <v>45999</v>
      </c>
      <c r="B711" t="s">
        <v>52</v>
      </c>
      <c r="C711" t="s">
        <v>53</v>
      </c>
      <c r="D711">
        <v>10</v>
      </c>
      <c r="E711">
        <v>5</v>
      </c>
      <c r="F711">
        <v>5</v>
      </c>
      <c r="G711" s="19">
        <v>5255</v>
      </c>
      <c r="H711" s="19">
        <v>4116</v>
      </c>
      <c r="I711" s="19">
        <v>1139</v>
      </c>
      <c r="J711" s="19">
        <v>290</v>
      </c>
      <c r="K711" s="19">
        <v>113</v>
      </c>
      <c r="L711" s="19">
        <v>806</v>
      </c>
      <c r="M711" s="19">
        <v>116</v>
      </c>
      <c r="N711" s="19">
        <v>81</v>
      </c>
      <c r="O711" s="19">
        <f t="shared" si="22"/>
        <v>1406</v>
      </c>
      <c r="P711" s="19">
        <f t="shared" si="23"/>
        <v>3849</v>
      </c>
      <c r="Q711" t="s">
        <v>23</v>
      </c>
      <c r="R711" t="s">
        <v>66</v>
      </c>
      <c r="T711">
        <v>1</v>
      </c>
      <c r="U711" s="19">
        <v>1671</v>
      </c>
      <c r="V711">
        <v>0</v>
      </c>
      <c r="W711" s="19">
        <v>0</v>
      </c>
      <c r="X711">
        <v>0</v>
      </c>
      <c r="Y711" s="19">
        <v>0</v>
      </c>
      <c r="Z711">
        <v>1</v>
      </c>
      <c r="AA711" s="19">
        <v>1215</v>
      </c>
      <c r="AB711">
        <v>1</v>
      </c>
      <c r="AC711" s="19">
        <v>911</v>
      </c>
      <c r="AD711">
        <v>0</v>
      </c>
      <c r="AE711" s="19">
        <v>0</v>
      </c>
      <c r="AF711">
        <v>0</v>
      </c>
      <c r="AG711" s="19">
        <v>0</v>
      </c>
      <c r="AH711">
        <v>2</v>
      </c>
      <c r="AI711" s="19">
        <v>425</v>
      </c>
      <c r="AJ711">
        <v>2</v>
      </c>
      <c r="AK711" s="19">
        <v>213</v>
      </c>
      <c r="AL711">
        <v>1</v>
      </c>
      <c r="AM711" s="19">
        <v>213</v>
      </c>
      <c r="AN711">
        <v>1</v>
      </c>
      <c r="AO711" s="19">
        <v>228</v>
      </c>
      <c r="AP711">
        <v>1</v>
      </c>
      <c r="AQ711" s="19">
        <v>380</v>
      </c>
    </row>
    <row r="712" spans="1:43" x14ac:dyDescent="0.35">
      <c r="A712" s="18">
        <v>46000</v>
      </c>
      <c r="B712" t="s">
        <v>56</v>
      </c>
      <c r="C712" t="s">
        <v>53</v>
      </c>
      <c r="D712">
        <v>11</v>
      </c>
      <c r="E712">
        <v>5</v>
      </c>
      <c r="F712">
        <v>6</v>
      </c>
      <c r="G712" s="19">
        <v>5796</v>
      </c>
      <c r="H712" s="19">
        <v>3522</v>
      </c>
      <c r="I712" s="19">
        <v>2274</v>
      </c>
      <c r="J712" s="19">
        <v>290</v>
      </c>
      <c r="K712" s="19">
        <v>113</v>
      </c>
      <c r="L712" s="19">
        <v>806</v>
      </c>
      <c r="M712" s="19">
        <v>128</v>
      </c>
      <c r="N712" s="19">
        <v>89</v>
      </c>
      <c r="O712" s="19">
        <f t="shared" si="22"/>
        <v>1426</v>
      </c>
      <c r="P712" s="19">
        <f t="shared" si="23"/>
        <v>4370</v>
      </c>
      <c r="Q712" t="s">
        <v>23</v>
      </c>
      <c r="R712" t="s">
        <v>66</v>
      </c>
      <c r="T712">
        <v>1</v>
      </c>
      <c r="U712" s="19">
        <v>1430</v>
      </c>
      <c r="V712">
        <v>0</v>
      </c>
      <c r="W712" s="19">
        <v>0</v>
      </c>
      <c r="X712">
        <v>0</v>
      </c>
      <c r="Y712" s="19">
        <v>0</v>
      </c>
      <c r="Z712">
        <v>1</v>
      </c>
      <c r="AA712" s="19">
        <v>1040</v>
      </c>
      <c r="AB712">
        <v>1</v>
      </c>
      <c r="AC712" s="19">
        <v>780</v>
      </c>
      <c r="AD712">
        <v>1</v>
      </c>
      <c r="AE712" s="19">
        <v>1300</v>
      </c>
      <c r="AF712">
        <v>0</v>
      </c>
      <c r="AG712" s="19">
        <v>0</v>
      </c>
      <c r="AH712">
        <v>2</v>
      </c>
      <c r="AI712" s="19">
        <v>364</v>
      </c>
      <c r="AJ712">
        <v>2</v>
      </c>
      <c r="AK712" s="19">
        <v>182</v>
      </c>
      <c r="AL712">
        <v>1</v>
      </c>
      <c r="AM712" s="19">
        <v>182</v>
      </c>
      <c r="AN712">
        <v>1</v>
      </c>
      <c r="AO712" s="19">
        <v>195</v>
      </c>
      <c r="AP712">
        <v>1</v>
      </c>
      <c r="AQ712" s="19">
        <v>325</v>
      </c>
    </row>
    <row r="713" spans="1:43" x14ac:dyDescent="0.35">
      <c r="A713" s="18">
        <v>46001</v>
      </c>
      <c r="B713" t="s">
        <v>57</v>
      </c>
      <c r="C713" t="s">
        <v>53</v>
      </c>
      <c r="D713">
        <v>11</v>
      </c>
      <c r="E713">
        <v>5</v>
      </c>
      <c r="F713">
        <v>6</v>
      </c>
      <c r="G713" s="19">
        <v>5807</v>
      </c>
      <c r="H713" s="19">
        <v>3528</v>
      </c>
      <c r="I713" s="19">
        <v>2279</v>
      </c>
      <c r="J713" s="19">
        <v>290</v>
      </c>
      <c r="K713" s="19">
        <v>113</v>
      </c>
      <c r="L713" s="19">
        <v>806</v>
      </c>
      <c r="M713" s="19">
        <v>128</v>
      </c>
      <c r="N713" s="19">
        <v>89</v>
      </c>
      <c r="O713" s="19">
        <f t="shared" si="22"/>
        <v>1426</v>
      </c>
      <c r="P713" s="19">
        <f t="shared" si="23"/>
        <v>4381</v>
      </c>
      <c r="Q713" t="s">
        <v>23</v>
      </c>
      <c r="R713" t="s">
        <v>66</v>
      </c>
      <c r="T713">
        <v>1</v>
      </c>
      <c r="U713" s="19">
        <v>1432</v>
      </c>
      <c r="V713">
        <v>0</v>
      </c>
      <c r="W713" s="19">
        <v>0</v>
      </c>
      <c r="X713">
        <v>0</v>
      </c>
      <c r="Y713" s="19">
        <v>0</v>
      </c>
      <c r="Z713">
        <v>1</v>
      </c>
      <c r="AA713" s="19">
        <v>1042</v>
      </c>
      <c r="AB713">
        <v>1</v>
      </c>
      <c r="AC713" s="19">
        <v>781</v>
      </c>
      <c r="AD713">
        <v>1</v>
      </c>
      <c r="AE713" s="19">
        <v>1302</v>
      </c>
      <c r="AF713">
        <v>0</v>
      </c>
      <c r="AG713" s="19">
        <v>0</v>
      </c>
      <c r="AH713">
        <v>2</v>
      </c>
      <c r="AI713" s="19">
        <v>365</v>
      </c>
      <c r="AJ713">
        <v>2</v>
      </c>
      <c r="AK713" s="19">
        <v>182</v>
      </c>
      <c r="AL713">
        <v>1</v>
      </c>
      <c r="AM713" s="19">
        <v>182</v>
      </c>
      <c r="AN713">
        <v>1</v>
      </c>
      <c r="AO713" s="19">
        <v>195</v>
      </c>
      <c r="AP713">
        <v>1</v>
      </c>
      <c r="AQ713" s="19">
        <v>326</v>
      </c>
    </row>
    <row r="714" spans="1:43" x14ac:dyDescent="0.35">
      <c r="A714" s="18">
        <v>46002</v>
      </c>
      <c r="B714" t="s">
        <v>58</v>
      </c>
      <c r="C714" t="s">
        <v>53</v>
      </c>
      <c r="D714">
        <v>12</v>
      </c>
      <c r="E714">
        <v>6</v>
      </c>
      <c r="F714">
        <v>6</v>
      </c>
      <c r="G714" s="19">
        <v>6162</v>
      </c>
      <c r="H714" s="19">
        <v>4426</v>
      </c>
      <c r="I714" s="19">
        <v>1736</v>
      </c>
      <c r="J714" s="19">
        <v>290</v>
      </c>
      <c r="K714" s="19">
        <v>113</v>
      </c>
      <c r="L714" s="19">
        <v>806</v>
      </c>
      <c r="M714" s="19">
        <v>136</v>
      </c>
      <c r="N714" s="19">
        <v>97</v>
      </c>
      <c r="O714" s="19">
        <f t="shared" si="22"/>
        <v>1442</v>
      </c>
      <c r="P714" s="19">
        <f t="shared" si="23"/>
        <v>4720</v>
      </c>
      <c r="Q714" t="s">
        <v>25</v>
      </c>
      <c r="R714" t="s">
        <v>66</v>
      </c>
      <c r="T714">
        <v>1</v>
      </c>
      <c r="U714" s="19">
        <v>1092</v>
      </c>
      <c r="V714">
        <v>0</v>
      </c>
      <c r="W714" s="19">
        <v>0</v>
      </c>
      <c r="X714">
        <v>1</v>
      </c>
      <c r="Y714" s="19">
        <v>1736</v>
      </c>
      <c r="Z714">
        <v>1</v>
      </c>
      <c r="AA714" s="19">
        <v>794</v>
      </c>
      <c r="AB714">
        <v>1</v>
      </c>
      <c r="AC714" s="19">
        <v>595</v>
      </c>
      <c r="AD714">
        <v>1</v>
      </c>
      <c r="AE714" s="19">
        <v>992</v>
      </c>
      <c r="AF714">
        <v>0</v>
      </c>
      <c r="AG714" s="19">
        <v>0</v>
      </c>
      <c r="AH714">
        <v>2</v>
      </c>
      <c r="AI714" s="19">
        <v>278</v>
      </c>
      <c r="AJ714">
        <v>2</v>
      </c>
      <c r="AK714" s="19">
        <v>139</v>
      </c>
      <c r="AL714">
        <v>1</v>
      </c>
      <c r="AM714" s="19">
        <v>139</v>
      </c>
      <c r="AN714">
        <v>1</v>
      </c>
      <c r="AO714" s="19">
        <v>149</v>
      </c>
      <c r="AP714">
        <v>1</v>
      </c>
      <c r="AQ714" s="19">
        <v>248</v>
      </c>
    </row>
    <row r="715" spans="1:43" x14ac:dyDescent="0.35">
      <c r="A715" s="18">
        <v>46003</v>
      </c>
      <c r="B715" t="s">
        <v>59</v>
      </c>
      <c r="C715" t="s">
        <v>53</v>
      </c>
      <c r="D715">
        <v>13</v>
      </c>
      <c r="E715">
        <v>6</v>
      </c>
      <c r="F715">
        <v>7</v>
      </c>
      <c r="G715" s="19">
        <v>6668</v>
      </c>
      <c r="H715" s="19">
        <v>4683</v>
      </c>
      <c r="I715" s="19">
        <v>1985</v>
      </c>
      <c r="J715" s="19">
        <v>290</v>
      </c>
      <c r="K715" s="19">
        <v>113</v>
      </c>
      <c r="L715" s="19">
        <v>806</v>
      </c>
      <c r="M715" s="19">
        <v>147</v>
      </c>
      <c r="N715" s="19">
        <v>105</v>
      </c>
      <c r="O715" s="19">
        <f t="shared" si="22"/>
        <v>1461</v>
      </c>
      <c r="P715" s="19">
        <f t="shared" si="23"/>
        <v>5207</v>
      </c>
      <c r="Q715" t="s">
        <v>25</v>
      </c>
      <c r="R715" t="s">
        <v>66</v>
      </c>
      <c r="T715">
        <v>1</v>
      </c>
      <c r="U715" s="19">
        <v>1155</v>
      </c>
      <c r="V715">
        <v>0</v>
      </c>
      <c r="W715" s="19">
        <v>0</v>
      </c>
      <c r="X715">
        <v>1</v>
      </c>
      <c r="Y715" s="19">
        <v>1838</v>
      </c>
      <c r="Z715">
        <v>1</v>
      </c>
      <c r="AA715" s="19">
        <v>840</v>
      </c>
      <c r="AB715">
        <v>1</v>
      </c>
      <c r="AC715" s="19">
        <v>630</v>
      </c>
      <c r="AD715">
        <v>1</v>
      </c>
      <c r="AE715" s="19">
        <v>1050</v>
      </c>
      <c r="AF715">
        <v>0</v>
      </c>
      <c r="AG715" s="19">
        <v>0</v>
      </c>
      <c r="AH715">
        <v>3</v>
      </c>
      <c r="AI715" s="19">
        <v>441</v>
      </c>
      <c r="AJ715">
        <v>2</v>
      </c>
      <c r="AK715" s="19">
        <v>147</v>
      </c>
      <c r="AL715">
        <v>1</v>
      </c>
      <c r="AM715" s="19">
        <v>147</v>
      </c>
      <c r="AN715">
        <v>1</v>
      </c>
      <c r="AO715" s="19">
        <v>158</v>
      </c>
      <c r="AP715">
        <v>1</v>
      </c>
      <c r="AQ715" s="19">
        <v>263</v>
      </c>
    </row>
    <row r="716" spans="1:43" x14ac:dyDescent="0.35">
      <c r="A716" s="18">
        <v>46004</v>
      </c>
      <c r="B716" t="s">
        <v>60</v>
      </c>
      <c r="C716" t="s">
        <v>61</v>
      </c>
      <c r="D716">
        <v>15</v>
      </c>
      <c r="E716">
        <v>8</v>
      </c>
      <c r="F716">
        <v>7</v>
      </c>
      <c r="G716" s="19">
        <v>8026</v>
      </c>
      <c r="H716" s="19">
        <v>5741</v>
      </c>
      <c r="I716" s="19">
        <v>2285</v>
      </c>
      <c r="J716" s="19">
        <v>290</v>
      </c>
      <c r="K716" s="19">
        <v>113</v>
      </c>
      <c r="L716" s="19">
        <v>806</v>
      </c>
      <c r="M716" s="19">
        <v>177</v>
      </c>
      <c r="N716" s="19">
        <v>121</v>
      </c>
      <c r="O716" s="19">
        <f t="shared" si="22"/>
        <v>1507</v>
      </c>
      <c r="P716" s="19">
        <f t="shared" si="23"/>
        <v>6519</v>
      </c>
      <c r="Q716" t="s">
        <v>25</v>
      </c>
      <c r="R716" t="s">
        <v>66</v>
      </c>
      <c r="T716">
        <v>1</v>
      </c>
      <c r="U716" s="19">
        <v>1330</v>
      </c>
      <c r="V716">
        <v>0</v>
      </c>
      <c r="W716" s="19">
        <v>0</v>
      </c>
      <c r="X716">
        <v>1</v>
      </c>
      <c r="Y716" s="19">
        <v>2115</v>
      </c>
      <c r="Z716">
        <v>1</v>
      </c>
      <c r="AA716" s="19">
        <v>967</v>
      </c>
      <c r="AB716">
        <v>1</v>
      </c>
      <c r="AC716" s="19">
        <v>725</v>
      </c>
      <c r="AD716">
        <v>1</v>
      </c>
      <c r="AE716" s="19">
        <v>1209</v>
      </c>
      <c r="AF716">
        <v>0</v>
      </c>
      <c r="AG716" s="19">
        <v>0</v>
      </c>
      <c r="AH716">
        <v>3</v>
      </c>
      <c r="AI716" s="19">
        <v>508</v>
      </c>
      <c r="AJ716">
        <v>2</v>
      </c>
      <c r="AK716" s="19">
        <v>169</v>
      </c>
      <c r="AL716">
        <v>2</v>
      </c>
      <c r="AM716" s="19">
        <v>338</v>
      </c>
      <c r="AN716">
        <v>2</v>
      </c>
      <c r="AO716" s="19">
        <v>363</v>
      </c>
      <c r="AP716">
        <v>1</v>
      </c>
      <c r="AQ716" s="19">
        <v>302</v>
      </c>
    </row>
    <row r="717" spans="1:43" x14ac:dyDescent="0.35">
      <c r="A717" s="18">
        <v>46005</v>
      </c>
      <c r="B717" t="s">
        <v>62</v>
      </c>
      <c r="C717" t="s">
        <v>61</v>
      </c>
      <c r="D717">
        <v>15</v>
      </c>
      <c r="E717">
        <v>9</v>
      </c>
      <c r="F717">
        <v>6</v>
      </c>
      <c r="G717" s="19">
        <v>7919</v>
      </c>
      <c r="H717" s="19">
        <v>6269</v>
      </c>
      <c r="I717" s="19">
        <v>1650</v>
      </c>
      <c r="J717" s="19">
        <v>290</v>
      </c>
      <c r="K717" s="19">
        <v>113</v>
      </c>
      <c r="L717" s="19">
        <v>806</v>
      </c>
      <c r="M717" s="19">
        <v>175</v>
      </c>
      <c r="N717" s="19">
        <v>121</v>
      </c>
      <c r="O717" s="19">
        <f t="shared" si="22"/>
        <v>1505</v>
      </c>
      <c r="P717" s="19">
        <f t="shared" si="23"/>
        <v>6414</v>
      </c>
      <c r="Q717" t="s">
        <v>24</v>
      </c>
      <c r="R717" t="s">
        <v>66</v>
      </c>
      <c r="T717">
        <v>1</v>
      </c>
      <c r="U717" s="19">
        <v>1037</v>
      </c>
      <c r="V717">
        <v>1</v>
      </c>
      <c r="W717" s="19">
        <v>1791</v>
      </c>
      <c r="X717">
        <v>1</v>
      </c>
      <c r="Y717" s="19">
        <v>1650</v>
      </c>
      <c r="Z717">
        <v>1</v>
      </c>
      <c r="AA717" s="19">
        <v>754</v>
      </c>
      <c r="AB717">
        <v>1</v>
      </c>
      <c r="AC717" s="19">
        <v>566</v>
      </c>
      <c r="AD717">
        <v>1</v>
      </c>
      <c r="AE717" s="19">
        <v>943</v>
      </c>
      <c r="AF717">
        <v>0</v>
      </c>
      <c r="AG717" s="19">
        <v>0</v>
      </c>
      <c r="AH717">
        <v>2</v>
      </c>
      <c r="AI717" s="19">
        <v>264</v>
      </c>
      <c r="AJ717">
        <v>2</v>
      </c>
      <c r="AK717" s="19">
        <v>132</v>
      </c>
      <c r="AL717">
        <v>2</v>
      </c>
      <c r="AM717" s="19">
        <v>264</v>
      </c>
      <c r="AN717">
        <v>2</v>
      </c>
      <c r="AO717" s="19">
        <v>283</v>
      </c>
      <c r="AP717">
        <v>1</v>
      </c>
      <c r="AQ717" s="19">
        <v>236</v>
      </c>
    </row>
    <row r="718" spans="1:43" x14ac:dyDescent="0.35">
      <c r="A718" s="18">
        <v>46006</v>
      </c>
      <c r="B718" t="s">
        <v>52</v>
      </c>
      <c r="C718" t="s">
        <v>53</v>
      </c>
      <c r="D718">
        <v>17</v>
      </c>
      <c r="E718">
        <v>10</v>
      </c>
      <c r="F718">
        <v>7</v>
      </c>
      <c r="G718" s="19">
        <v>9035</v>
      </c>
      <c r="H718" s="19">
        <v>7555</v>
      </c>
      <c r="I718" s="19">
        <v>1480</v>
      </c>
      <c r="J718" s="19">
        <v>290</v>
      </c>
      <c r="K718" s="19">
        <v>113</v>
      </c>
      <c r="L718" s="19">
        <v>806</v>
      </c>
      <c r="M718" s="19">
        <v>199</v>
      </c>
      <c r="N718" s="19">
        <v>138</v>
      </c>
      <c r="O718" s="19">
        <f t="shared" si="22"/>
        <v>1546</v>
      </c>
      <c r="P718" s="19">
        <f t="shared" si="23"/>
        <v>7489</v>
      </c>
      <c r="Q718" t="s">
        <v>29</v>
      </c>
      <c r="R718" t="s">
        <v>66</v>
      </c>
      <c r="T718">
        <v>1</v>
      </c>
      <c r="U718" s="19">
        <v>861</v>
      </c>
      <c r="V718">
        <v>1</v>
      </c>
      <c r="W718" s="19">
        <v>1488</v>
      </c>
      <c r="X718">
        <v>1</v>
      </c>
      <c r="Y718" s="19">
        <v>1370</v>
      </c>
      <c r="Z718">
        <v>1</v>
      </c>
      <c r="AA718" s="19">
        <v>626</v>
      </c>
      <c r="AB718">
        <v>1</v>
      </c>
      <c r="AC718" s="19">
        <v>470</v>
      </c>
      <c r="AD718">
        <v>1</v>
      </c>
      <c r="AE718" s="19">
        <v>783</v>
      </c>
      <c r="AF718">
        <v>1</v>
      </c>
      <c r="AG718" s="19">
        <v>2349</v>
      </c>
      <c r="AH718">
        <v>3</v>
      </c>
      <c r="AI718" s="19">
        <v>329</v>
      </c>
      <c r="AJ718">
        <v>2</v>
      </c>
      <c r="AK718" s="19">
        <v>110</v>
      </c>
      <c r="AL718">
        <v>2</v>
      </c>
      <c r="AM718" s="19">
        <v>219</v>
      </c>
      <c r="AN718">
        <v>2</v>
      </c>
      <c r="AO718" s="19">
        <v>235</v>
      </c>
      <c r="AP718">
        <v>1</v>
      </c>
      <c r="AQ718" s="19">
        <v>196</v>
      </c>
    </row>
    <row r="719" spans="1:43" x14ac:dyDescent="0.35">
      <c r="A719" s="18">
        <v>46007</v>
      </c>
      <c r="B719" t="s">
        <v>56</v>
      </c>
      <c r="C719" t="s">
        <v>53</v>
      </c>
      <c r="D719">
        <v>18</v>
      </c>
      <c r="E719">
        <v>9</v>
      </c>
      <c r="F719">
        <v>9</v>
      </c>
      <c r="G719" s="19">
        <v>10057</v>
      </c>
      <c r="H719" s="19">
        <v>6888</v>
      </c>
      <c r="I719" s="19">
        <v>3169</v>
      </c>
      <c r="J719" s="19">
        <v>290</v>
      </c>
      <c r="K719" s="19">
        <v>113</v>
      </c>
      <c r="L719" s="19">
        <v>806</v>
      </c>
      <c r="M719" s="19">
        <v>222</v>
      </c>
      <c r="N719" s="19">
        <v>146</v>
      </c>
      <c r="O719" s="19">
        <f t="shared" si="22"/>
        <v>1577</v>
      </c>
      <c r="P719" s="19">
        <f t="shared" si="23"/>
        <v>8480</v>
      </c>
      <c r="Q719" t="s">
        <v>23</v>
      </c>
      <c r="R719" t="s">
        <v>66</v>
      </c>
      <c r="T719">
        <v>2</v>
      </c>
      <c r="U719" s="19">
        <v>2279</v>
      </c>
      <c r="V719">
        <v>1</v>
      </c>
      <c r="W719" s="19">
        <v>1968</v>
      </c>
      <c r="X719">
        <v>1</v>
      </c>
      <c r="Y719" s="19">
        <v>1813</v>
      </c>
      <c r="Z719">
        <v>1</v>
      </c>
      <c r="AA719" s="19">
        <v>829</v>
      </c>
      <c r="AB719">
        <v>1</v>
      </c>
      <c r="AC719" s="19">
        <v>621</v>
      </c>
      <c r="AD719">
        <v>1</v>
      </c>
      <c r="AE719" s="19">
        <v>1036</v>
      </c>
      <c r="AF719">
        <v>0</v>
      </c>
      <c r="AG719" s="19">
        <v>0</v>
      </c>
      <c r="AH719">
        <v>3</v>
      </c>
      <c r="AI719" s="19">
        <v>435</v>
      </c>
      <c r="AJ719">
        <v>3</v>
      </c>
      <c r="AK719" s="19">
        <v>218</v>
      </c>
      <c r="AL719">
        <v>2</v>
      </c>
      <c r="AM719" s="19">
        <v>290</v>
      </c>
      <c r="AN719">
        <v>2</v>
      </c>
      <c r="AO719" s="19">
        <v>311</v>
      </c>
      <c r="AP719">
        <v>1</v>
      </c>
      <c r="AQ719" s="19">
        <v>259</v>
      </c>
    </row>
    <row r="720" spans="1:43" x14ac:dyDescent="0.35">
      <c r="A720" s="18">
        <v>46008</v>
      </c>
      <c r="B720" t="s">
        <v>57</v>
      </c>
      <c r="C720" t="s">
        <v>53</v>
      </c>
      <c r="D720">
        <v>18</v>
      </c>
      <c r="E720">
        <v>9</v>
      </c>
      <c r="F720">
        <v>9</v>
      </c>
      <c r="G720" s="19">
        <v>9367</v>
      </c>
      <c r="H720" s="19">
        <v>6415</v>
      </c>
      <c r="I720" s="19">
        <v>2952</v>
      </c>
      <c r="J720" s="19">
        <v>290</v>
      </c>
      <c r="K720" s="19">
        <v>113</v>
      </c>
      <c r="L720" s="19">
        <v>806</v>
      </c>
      <c r="M720" s="19">
        <v>207</v>
      </c>
      <c r="N720" s="19">
        <v>146</v>
      </c>
      <c r="O720" s="19">
        <f t="shared" si="22"/>
        <v>1562</v>
      </c>
      <c r="P720" s="19">
        <f t="shared" si="23"/>
        <v>7805</v>
      </c>
      <c r="Q720" t="s">
        <v>23</v>
      </c>
      <c r="R720" t="s">
        <v>66</v>
      </c>
      <c r="T720">
        <v>2</v>
      </c>
      <c r="U720" s="19">
        <v>2122</v>
      </c>
      <c r="V720">
        <v>1</v>
      </c>
      <c r="W720" s="19">
        <v>1833</v>
      </c>
      <c r="X720">
        <v>1</v>
      </c>
      <c r="Y720" s="19">
        <v>1688</v>
      </c>
      <c r="Z720">
        <v>1</v>
      </c>
      <c r="AA720" s="19">
        <v>772</v>
      </c>
      <c r="AB720">
        <v>1</v>
      </c>
      <c r="AC720" s="19">
        <v>579</v>
      </c>
      <c r="AD720">
        <v>1</v>
      </c>
      <c r="AE720" s="19">
        <v>965</v>
      </c>
      <c r="AF720">
        <v>0</v>
      </c>
      <c r="AG720" s="19">
        <v>0</v>
      </c>
      <c r="AH720">
        <v>3</v>
      </c>
      <c r="AI720" s="19">
        <v>405</v>
      </c>
      <c r="AJ720">
        <v>3</v>
      </c>
      <c r="AK720" s="19">
        <v>203</v>
      </c>
      <c r="AL720">
        <v>2</v>
      </c>
      <c r="AM720" s="19">
        <v>270</v>
      </c>
      <c r="AN720">
        <v>2</v>
      </c>
      <c r="AO720" s="19">
        <v>289</v>
      </c>
      <c r="AP720">
        <v>1</v>
      </c>
      <c r="AQ720" s="19">
        <v>241</v>
      </c>
    </row>
    <row r="721" spans="1:43" x14ac:dyDescent="0.35">
      <c r="A721" s="18">
        <v>46009</v>
      </c>
      <c r="B721" t="s">
        <v>58</v>
      </c>
      <c r="C721" t="s">
        <v>53</v>
      </c>
      <c r="D721">
        <v>20</v>
      </c>
      <c r="E721">
        <v>10</v>
      </c>
      <c r="F721">
        <v>10</v>
      </c>
      <c r="G721" s="19">
        <v>10505</v>
      </c>
      <c r="H721" s="19">
        <v>7889</v>
      </c>
      <c r="I721" s="19">
        <v>2616</v>
      </c>
      <c r="J721" s="19">
        <v>290</v>
      </c>
      <c r="K721" s="19">
        <v>113</v>
      </c>
      <c r="L721" s="19">
        <v>806</v>
      </c>
      <c r="M721" s="19">
        <v>232</v>
      </c>
      <c r="N721" s="19">
        <v>162</v>
      </c>
      <c r="O721" s="19">
        <f t="shared" si="22"/>
        <v>1603</v>
      </c>
      <c r="P721" s="19">
        <f t="shared" si="23"/>
        <v>8902</v>
      </c>
      <c r="Q721" t="s">
        <v>29</v>
      </c>
      <c r="R721" t="s">
        <v>66</v>
      </c>
      <c r="T721">
        <v>2</v>
      </c>
      <c r="U721" s="19">
        <v>1799</v>
      </c>
      <c r="V721">
        <v>1</v>
      </c>
      <c r="W721" s="19">
        <v>1553</v>
      </c>
      <c r="X721">
        <v>1</v>
      </c>
      <c r="Y721" s="19">
        <v>1431</v>
      </c>
      <c r="Z721">
        <v>1</v>
      </c>
      <c r="AA721" s="19">
        <v>654</v>
      </c>
      <c r="AB721">
        <v>1</v>
      </c>
      <c r="AC721" s="19">
        <v>491</v>
      </c>
      <c r="AD721">
        <v>1</v>
      </c>
      <c r="AE721" s="19">
        <v>818</v>
      </c>
      <c r="AF721">
        <v>1</v>
      </c>
      <c r="AG721" s="19">
        <v>2453</v>
      </c>
      <c r="AH721">
        <v>3</v>
      </c>
      <c r="AI721" s="19">
        <v>343</v>
      </c>
      <c r="AJ721">
        <v>3</v>
      </c>
      <c r="AK721" s="19">
        <v>172</v>
      </c>
      <c r="AL721">
        <v>3</v>
      </c>
      <c r="AM721" s="19">
        <v>343</v>
      </c>
      <c r="AN721">
        <v>2</v>
      </c>
      <c r="AO721" s="19">
        <v>245</v>
      </c>
      <c r="AP721">
        <v>1</v>
      </c>
      <c r="AQ721" s="19">
        <v>204</v>
      </c>
    </row>
    <row r="722" spans="1:43" x14ac:dyDescent="0.35">
      <c r="A722" s="18">
        <v>46010</v>
      </c>
      <c r="B722" t="s">
        <v>59</v>
      </c>
      <c r="C722" t="s">
        <v>53</v>
      </c>
      <c r="D722">
        <v>21</v>
      </c>
      <c r="E722">
        <v>11</v>
      </c>
      <c r="F722">
        <v>10</v>
      </c>
      <c r="G722" s="19">
        <v>11021</v>
      </c>
      <c r="H722" s="19">
        <v>7577</v>
      </c>
      <c r="I722" s="19">
        <v>3444</v>
      </c>
      <c r="J722" s="19">
        <v>290</v>
      </c>
      <c r="K722" s="19">
        <v>113</v>
      </c>
      <c r="L722" s="19">
        <v>806</v>
      </c>
      <c r="M722" s="19">
        <v>243</v>
      </c>
      <c r="N722" s="19">
        <v>170</v>
      </c>
      <c r="O722" s="19">
        <f t="shared" si="22"/>
        <v>1622</v>
      </c>
      <c r="P722" s="19">
        <f t="shared" si="23"/>
        <v>9399</v>
      </c>
      <c r="Q722" t="s">
        <v>23</v>
      </c>
      <c r="R722" t="s">
        <v>66</v>
      </c>
      <c r="T722">
        <v>2</v>
      </c>
      <c r="U722" s="19">
        <v>2368</v>
      </c>
      <c r="V722">
        <v>1</v>
      </c>
      <c r="W722" s="19">
        <v>2045</v>
      </c>
      <c r="X722">
        <v>1</v>
      </c>
      <c r="Y722" s="19">
        <v>1883</v>
      </c>
      <c r="Z722">
        <v>1</v>
      </c>
      <c r="AA722" s="19">
        <v>861</v>
      </c>
      <c r="AB722">
        <v>1</v>
      </c>
      <c r="AC722" s="19">
        <v>646</v>
      </c>
      <c r="AD722">
        <v>1</v>
      </c>
      <c r="AE722" s="19">
        <v>1076</v>
      </c>
      <c r="AF722">
        <v>0</v>
      </c>
      <c r="AG722" s="19">
        <v>0</v>
      </c>
      <c r="AH722">
        <v>4</v>
      </c>
      <c r="AI722" s="19">
        <v>603</v>
      </c>
      <c r="AJ722">
        <v>3</v>
      </c>
      <c r="AK722" s="19">
        <v>226</v>
      </c>
      <c r="AL722">
        <v>3</v>
      </c>
      <c r="AM722" s="19">
        <v>452</v>
      </c>
      <c r="AN722">
        <v>2</v>
      </c>
      <c r="AO722" s="19">
        <v>323</v>
      </c>
      <c r="AP722">
        <v>2</v>
      </c>
      <c r="AQ722" s="19">
        <v>538</v>
      </c>
    </row>
    <row r="723" spans="1:43" x14ac:dyDescent="0.35">
      <c r="A723" s="18">
        <v>46011</v>
      </c>
      <c r="B723" t="s">
        <v>60</v>
      </c>
      <c r="C723" t="s">
        <v>61</v>
      </c>
      <c r="D723">
        <v>26</v>
      </c>
      <c r="E723">
        <v>11</v>
      </c>
      <c r="F723">
        <v>15</v>
      </c>
      <c r="G723" s="19">
        <v>13884</v>
      </c>
      <c r="H723" s="19">
        <v>9206</v>
      </c>
      <c r="I723" s="19">
        <v>4678</v>
      </c>
      <c r="J723" s="19">
        <v>290</v>
      </c>
      <c r="K723" s="19">
        <v>113</v>
      </c>
      <c r="L723" s="19">
        <v>806</v>
      </c>
      <c r="M723" s="19">
        <v>306</v>
      </c>
      <c r="N723" s="19">
        <v>211</v>
      </c>
      <c r="O723" s="19">
        <f t="shared" si="22"/>
        <v>1726</v>
      </c>
      <c r="P723" s="19">
        <f t="shared" si="23"/>
        <v>12158</v>
      </c>
      <c r="Q723" t="s">
        <v>29</v>
      </c>
      <c r="R723" t="s">
        <v>66</v>
      </c>
      <c r="T723">
        <v>2</v>
      </c>
      <c r="U723" s="19">
        <v>2046</v>
      </c>
      <c r="V723">
        <v>1</v>
      </c>
      <c r="W723" s="19">
        <v>1767</v>
      </c>
      <c r="X723">
        <v>1</v>
      </c>
      <c r="Y723" s="19">
        <v>1627</v>
      </c>
      <c r="Z723">
        <v>2</v>
      </c>
      <c r="AA723" s="19">
        <v>1488</v>
      </c>
      <c r="AB723">
        <v>2</v>
      </c>
      <c r="AC723" s="19">
        <v>1116</v>
      </c>
      <c r="AD723">
        <v>1</v>
      </c>
      <c r="AE723" s="19">
        <v>930</v>
      </c>
      <c r="AF723">
        <v>1</v>
      </c>
      <c r="AG723" s="19">
        <v>2790</v>
      </c>
      <c r="AH723">
        <v>4</v>
      </c>
      <c r="AI723" s="19">
        <v>521</v>
      </c>
      <c r="AJ723">
        <v>3</v>
      </c>
      <c r="AK723" s="19">
        <v>195</v>
      </c>
      <c r="AL723">
        <v>4</v>
      </c>
      <c r="AM723" s="19">
        <v>521</v>
      </c>
      <c r="AN723">
        <v>3</v>
      </c>
      <c r="AO723" s="19">
        <v>418</v>
      </c>
      <c r="AP723">
        <v>2</v>
      </c>
      <c r="AQ723" s="19">
        <v>465</v>
      </c>
    </row>
    <row r="724" spans="1:43" x14ac:dyDescent="0.35">
      <c r="A724" s="18">
        <v>46012</v>
      </c>
      <c r="B724" t="s">
        <v>62</v>
      </c>
      <c r="C724" t="s">
        <v>61</v>
      </c>
      <c r="D724">
        <v>22</v>
      </c>
      <c r="E724">
        <v>10</v>
      </c>
      <c r="F724">
        <v>12</v>
      </c>
      <c r="G724" s="19">
        <v>11579</v>
      </c>
      <c r="H724" s="19">
        <v>7742</v>
      </c>
      <c r="I724" s="19">
        <v>3837</v>
      </c>
      <c r="J724" s="19">
        <v>290</v>
      </c>
      <c r="K724" s="19">
        <v>113</v>
      </c>
      <c r="L724" s="19">
        <v>806</v>
      </c>
      <c r="M724" s="19">
        <v>255</v>
      </c>
      <c r="N724" s="19">
        <v>178</v>
      </c>
      <c r="O724" s="19">
        <f t="shared" si="22"/>
        <v>1642</v>
      </c>
      <c r="P724" s="19">
        <f t="shared" si="23"/>
        <v>9937</v>
      </c>
      <c r="Q724" t="s">
        <v>23</v>
      </c>
      <c r="R724" t="s">
        <v>66</v>
      </c>
      <c r="T724">
        <v>2</v>
      </c>
      <c r="U724" s="19">
        <v>2468</v>
      </c>
      <c r="V724">
        <v>1</v>
      </c>
      <c r="W724" s="19">
        <v>2132</v>
      </c>
      <c r="X724">
        <v>1</v>
      </c>
      <c r="Y724" s="19">
        <v>1963</v>
      </c>
      <c r="Z724">
        <v>1</v>
      </c>
      <c r="AA724" s="19">
        <v>898</v>
      </c>
      <c r="AB724">
        <v>1</v>
      </c>
      <c r="AC724" s="19">
        <v>673</v>
      </c>
      <c r="AD724">
        <v>1</v>
      </c>
      <c r="AE724" s="19">
        <v>1122</v>
      </c>
      <c r="AF724">
        <v>0</v>
      </c>
      <c r="AG724" s="19">
        <v>0</v>
      </c>
      <c r="AH724">
        <v>4</v>
      </c>
      <c r="AI724" s="19">
        <v>628</v>
      </c>
      <c r="AJ724">
        <v>4</v>
      </c>
      <c r="AK724" s="19">
        <v>314</v>
      </c>
      <c r="AL724">
        <v>2</v>
      </c>
      <c r="AM724" s="19">
        <v>314</v>
      </c>
      <c r="AN724">
        <v>3</v>
      </c>
      <c r="AO724" s="19">
        <v>505</v>
      </c>
      <c r="AP724">
        <v>2</v>
      </c>
      <c r="AQ724" s="19">
        <v>561</v>
      </c>
    </row>
    <row r="725" spans="1:43" x14ac:dyDescent="0.35">
      <c r="A725" s="18">
        <v>46013</v>
      </c>
      <c r="B725" t="s">
        <v>52</v>
      </c>
      <c r="C725" t="s">
        <v>53</v>
      </c>
      <c r="D725">
        <v>17</v>
      </c>
      <c r="E725">
        <v>10</v>
      </c>
      <c r="F725">
        <v>7</v>
      </c>
      <c r="G725" s="19">
        <v>9426</v>
      </c>
      <c r="H725" s="19">
        <v>7374</v>
      </c>
      <c r="I725" s="19">
        <v>2052</v>
      </c>
      <c r="J725" s="19">
        <v>290</v>
      </c>
      <c r="K725" s="19">
        <v>113</v>
      </c>
      <c r="L725" s="19">
        <v>806</v>
      </c>
      <c r="M725" s="19">
        <v>208</v>
      </c>
      <c r="N725" s="19">
        <v>138</v>
      </c>
      <c r="O725" s="19">
        <f t="shared" si="22"/>
        <v>1555</v>
      </c>
      <c r="P725" s="19">
        <f t="shared" si="23"/>
        <v>7871</v>
      </c>
      <c r="Q725" t="s">
        <v>24</v>
      </c>
      <c r="R725" t="s">
        <v>66</v>
      </c>
      <c r="T725">
        <v>1</v>
      </c>
      <c r="U725" s="19">
        <v>1195</v>
      </c>
      <c r="V725">
        <v>1</v>
      </c>
      <c r="W725" s="19">
        <v>2063</v>
      </c>
      <c r="X725">
        <v>1</v>
      </c>
      <c r="Y725" s="19">
        <v>1900</v>
      </c>
      <c r="Z725">
        <v>1</v>
      </c>
      <c r="AA725" s="19">
        <v>869</v>
      </c>
      <c r="AB725">
        <v>1</v>
      </c>
      <c r="AC725" s="19">
        <v>652</v>
      </c>
      <c r="AD725">
        <v>1</v>
      </c>
      <c r="AE725" s="19">
        <v>1086</v>
      </c>
      <c r="AF725">
        <v>0</v>
      </c>
      <c r="AG725" s="19">
        <v>0</v>
      </c>
      <c r="AH725">
        <v>4</v>
      </c>
      <c r="AI725" s="19">
        <v>608</v>
      </c>
      <c r="AJ725">
        <v>2</v>
      </c>
      <c r="AK725" s="19">
        <v>152</v>
      </c>
      <c r="AL725">
        <v>2</v>
      </c>
      <c r="AM725" s="19">
        <v>304</v>
      </c>
      <c r="AN725">
        <v>2</v>
      </c>
      <c r="AO725" s="19">
        <v>326</v>
      </c>
      <c r="AP725">
        <v>1</v>
      </c>
      <c r="AQ725" s="19">
        <v>271</v>
      </c>
    </row>
    <row r="726" spans="1:43" x14ac:dyDescent="0.35">
      <c r="A726" s="18">
        <v>46014</v>
      </c>
      <c r="B726" t="s">
        <v>56</v>
      </c>
      <c r="C726" t="s">
        <v>53</v>
      </c>
      <c r="D726">
        <v>20</v>
      </c>
      <c r="E726">
        <v>10</v>
      </c>
      <c r="F726">
        <v>10</v>
      </c>
      <c r="G726" s="19">
        <v>10720</v>
      </c>
      <c r="H726" s="19">
        <v>7286</v>
      </c>
      <c r="I726" s="19">
        <v>3434</v>
      </c>
      <c r="J726" s="19">
        <v>290</v>
      </c>
      <c r="K726" s="19">
        <v>113</v>
      </c>
      <c r="L726" s="19">
        <v>806</v>
      </c>
      <c r="M726" s="19">
        <v>236</v>
      </c>
      <c r="N726" s="19">
        <v>162</v>
      </c>
      <c r="O726" s="19">
        <f t="shared" si="22"/>
        <v>1607</v>
      </c>
      <c r="P726" s="19">
        <f t="shared" si="23"/>
        <v>9113</v>
      </c>
      <c r="Q726" t="s">
        <v>23</v>
      </c>
      <c r="R726" t="s">
        <v>66</v>
      </c>
      <c r="T726">
        <v>2</v>
      </c>
      <c r="U726" s="19">
        <v>2361</v>
      </c>
      <c r="V726">
        <v>1</v>
      </c>
      <c r="W726" s="19">
        <v>2039</v>
      </c>
      <c r="X726">
        <v>1</v>
      </c>
      <c r="Y726" s="19">
        <v>1878</v>
      </c>
      <c r="Z726">
        <v>1</v>
      </c>
      <c r="AA726" s="19">
        <v>858</v>
      </c>
      <c r="AB726">
        <v>1</v>
      </c>
      <c r="AC726" s="19">
        <v>644</v>
      </c>
      <c r="AD726">
        <v>1</v>
      </c>
      <c r="AE726" s="19">
        <v>1073</v>
      </c>
      <c r="AF726">
        <v>0</v>
      </c>
      <c r="AG726" s="19">
        <v>0</v>
      </c>
      <c r="AH726">
        <v>4</v>
      </c>
      <c r="AI726" s="19">
        <v>601</v>
      </c>
      <c r="AJ726">
        <v>3</v>
      </c>
      <c r="AK726" s="19">
        <v>225</v>
      </c>
      <c r="AL726">
        <v>3</v>
      </c>
      <c r="AM726" s="19">
        <v>451</v>
      </c>
      <c r="AN726">
        <v>2</v>
      </c>
      <c r="AO726" s="19">
        <v>322</v>
      </c>
      <c r="AP726">
        <v>1</v>
      </c>
      <c r="AQ726" s="19">
        <v>268</v>
      </c>
    </row>
    <row r="727" spans="1:43" x14ac:dyDescent="0.35">
      <c r="A727" s="18">
        <v>46015</v>
      </c>
      <c r="B727" t="s">
        <v>57</v>
      </c>
      <c r="C727" t="s">
        <v>53</v>
      </c>
      <c r="D727">
        <v>22</v>
      </c>
      <c r="E727">
        <v>11</v>
      </c>
      <c r="F727">
        <v>11</v>
      </c>
      <c r="G727" s="19">
        <v>11583</v>
      </c>
      <c r="H727" s="19">
        <v>7523</v>
      </c>
      <c r="I727" s="19">
        <v>4060</v>
      </c>
      <c r="J727" s="19">
        <v>290</v>
      </c>
      <c r="K727" s="19">
        <v>113</v>
      </c>
      <c r="L727" s="19">
        <v>806</v>
      </c>
      <c r="M727" s="19">
        <v>255</v>
      </c>
      <c r="N727" s="19">
        <v>178</v>
      </c>
      <c r="O727" s="19">
        <f t="shared" si="22"/>
        <v>1642</v>
      </c>
      <c r="P727" s="19">
        <f t="shared" si="23"/>
        <v>9941</v>
      </c>
      <c r="Q727" t="s">
        <v>23</v>
      </c>
      <c r="R727" t="s">
        <v>66</v>
      </c>
      <c r="T727">
        <v>2</v>
      </c>
      <c r="U727" s="19">
        <v>2351</v>
      </c>
      <c r="V727">
        <v>1</v>
      </c>
      <c r="W727" s="19">
        <v>2030</v>
      </c>
      <c r="X727">
        <v>1</v>
      </c>
      <c r="Y727" s="19">
        <v>1870</v>
      </c>
      <c r="Z727">
        <v>1</v>
      </c>
      <c r="AA727" s="19">
        <v>855</v>
      </c>
      <c r="AB727">
        <v>2</v>
      </c>
      <c r="AC727" s="19">
        <v>1282</v>
      </c>
      <c r="AD727">
        <v>1</v>
      </c>
      <c r="AE727" s="19">
        <v>1069</v>
      </c>
      <c r="AF727">
        <v>0</v>
      </c>
      <c r="AG727" s="19">
        <v>0</v>
      </c>
      <c r="AH727">
        <v>4</v>
      </c>
      <c r="AI727" s="19">
        <v>598</v>
      </c>
      <c r="AJ727">
        <v>3</v>
      </c>
      <c r="AK727" s="19">
        <v>224</v>
      </c>
      <c r="AL727">
        <v>3</v>
      </c>
      <c r="AM727" s="19">
        <v>449</v>
      </c>
      <c r="AN727">
        <v>2</v>
      </c>
      <c r="AO727" s="19">
        <v>321</v>
      </c>
      <c r="AP727">
        <v>2</v>
      </c>
      <c r="AQ727" s="19">
        <v>534</v>
      </c>
    </row>
    <row r="728" spans="1:43" x14ac:dyDescent="0.35">
      <c r="A728" s="18">
        <v>46016</v>
      </c>
      <c r="B728" t="s">
        <v>58</v>
      </c>
      <c r="C728" t="s">
        <v>53</v>
      </c>
      <c r="D728">
        <v>22</v>
      </c>
      <c r="E728">
        <v>11</v>
      </c>
      <c r="F728">
        <v>11</v>
      </c>
      <c r="G728" s="19">
        <v>12176</v>
      </c>
      <c r="H728" s="19">
        <v>8771</v>
      </c>
      <c r="I728" s="19">
        <v>3405</v>
      </c>
      <c r="J728" s="19">
        <v>290</v>
      </c>
      <c r="K728" s="19">
        <v>113</v>
      </c>
      <c r="L728" s="19">
        <v>806</v>
      </c>
      <c r="M728" s="19">
        <v>269</v>
      </c>
      <c r="N728" s="19">
        <v>178</v>
      </c>
      <c r="O728" s="19">
        <f t="shared" si="22"/>
        <v>1656</v>
      </c>
      <c r="P728" s="19">
        <f t="shared" si="23"/>
        <v>10520</v>
      </c>
      <c r="Q728" t="s">
        <v>29</v>
      </c>
      <c r="R728" t="s">
        <v>66</v>
      </c>
      <c r="T728">
        <v>2</v>
      </c>
      <c r="U728" s="19">
        <v>1971</v>
      </c>
      <c r="V728">
        <v>1</v>
      </c>
      <c r="W728" s="19">
        <v>1702</v>
      </c>
      <c r="X728">
        <v>1</v>
      </c>
      <c r="Y728" s="19">
        <v>1568</v>
      </c>
      <c r="Z728">
        <v>1</v>
      </c>
      <c r="AA728" s="19">
        <v>717</v>
      </c>
      <c r="AB728">
        <v>2</v>
      </c>
      <c r="AC728" s="19">
        <v>1075</v>
      </c>
      <c r="AD728">
        <v>1</v>
      </c>
      <c r="AE728" s="19">
        <v>896</v>
      </c>
      <c r="AF728">
        <v>1</v>
      </c>
      <c r="AG728" s="19">
        <v>2688</v>
      </c>
      <c r="AH728">
        <v>4</v>
      </c>
      <c r="AI728" s="19">
        <v>502</v>
      </c>
      <c r="AJ728">
        <v>3</v>
      </c>
      <c r="AK728" s="19">
        <v>188</v>
      </c>
      <c r="AL728">
        <v>3</v>
      </c>
      <c r="AM728" s="19">
        <v>376</v>
      </c>
      <c r="AN728">
        <v>2</v>
      </c>
      <c r="AO728" s="19">
        <v>269</v>
      </c>
      <c r="AP728">
        <v>1</v>
      </c>
      <c r="AQ728" s="19">
        <v>224</v>
      </c>
    </row>
    <row r="729" spans="1:43" x14ac:dyDescent="0.35">
      <c r="A729" s="18">
        <v>46017</v>
      </c>
      <c r="B729" t="s">
        <v>59</v>
      </c>
      <c r="C729" t="s">
        <v>53</v>
      </c>
      <c r="D729">
        <v>19</v>
      </c>
      <c r="E729">
        <v>10</v>
      </c>
      <c r="F729">
        <v>9</v>
      </c>
      <c r="G729" s="19">
        <v>10108</v>
      </c>
      <c r="H729" s="19">
        <v>8301</v>
      </c>
      <c r="I729" s="19">
        <v>1807</v>
      </c>
      <c r="J729" s="19">
        <v>290</v>
      </c>
      <c r="K729" s="19">
        <v>113</v>
      </c>
      <c r="L729" s="19">
        <v>806</v>
      </c>
      <c r="M729" s="19">
        <v>223</v>
      </c>
      <c r="N729" s="19">
        <v>154</v>
      </c>
      <c r="O729" s="19">
        <f t="shared" si="22"/>
        <v>1586</v>
      </c>
      <c r="P729" s="19">
        <f t="shared" si="23"/>
        <v>8522</v>
      </c>
      <c r="Q729" t="s">
        <v>29</v>
      </c>
      <c r="R729" t="s">
        <v>66</v>
      </c>
      <c r="T729">
        <v>1</v>
      </c>
      <c r="U729" s="19">
        <v>946</v>
      </c>
      <c r="V729">
        <v>1</v>
      </c>
      <c r="W729" s="19">
        <v>1634</v>
      </c>
      <c r="X729">
        <v>1</v>
      </c>
      <c r="Y729" s="19">
        <v>1505</v>
      </c>
      <c r="Z729">
        <v>1</v>
      </c>
      <c r="AA729" s="19">
        <v>688</v>
      </c>
      <c r="AB729">
        <v>1</v>
      </c>
      <c r="AC729" s="19">
        <v>516</v>
      </c>
      <c r="AD729">
        <v>1</v>
      </c>
      <c r="AE729" s="19">
        <v>860</v>
      </c>
      <c r="AF729">
        <v>1</v>
      </c>
      <c r="AG729" s="19">
        <v>2581</v>
      </c>
      <c r="AH729">
        <v>3</v>
      </c>
      <c r="AI729" s="19">
        <v>361</v>
      </c>
      <c r="AJ729">
        <v>3</v>
      </c>
      <c r="AK729" s="19">
        <v>181</v>
      </c>
      <c r="AL729">
        <v>3</v>
      </c>
      <c r="AM729" s="19">
        <v>361</v>
      </c>
      <c r="AN729">
        <v>2</v>
      </c>
      <c r="AO729" s="19">
        <v>258</v>
      </c>
      <c r="AP729">
        <v>1</v>
      </c>
      <c r="AQ729" s="19">
        <v>215</v>
      </c>
    </row>
    <row r="730" spans="1:43" x14ac:dyDescent="0.35">
      <c r="A730" s="18">
        <v>46018</v>
      </c>
      <c r="B730" t="s">
        <v>60</v>
      </c>
      <c r="C730" t="s">
        <v>61</v>
      </c>
      <c r="D730">
        <v>25</v>
      </c>
      <c r="E730">
        <v>11</v>
      </c>
      <c r="F730">
        <v>14</v>
      </c>
      <c r="G730" s="19">
        <v>12949</v>
      </c>
      <c r="H730" s="19">
        <v>7693</v>
      </c>
      <c r="I730" s="19">
        <v>5256</v>
      </c>
      <c r="J730" s="19">
        <v>290</v>
      </c>
      <c r="K730" s="19">
        <v>113</v>
      </c>
      <c r="L730" s="19">
        <v>806</v>
      </c>
      <c r="M730" s="19">
        <v>286</v>
      </c>
      <c r="N730" s="19">
        <v>202</v>
      </c>
      <c r="O730" s="19">
        <f t="shared" si="22"/>
        <v>1697</v>
      </c>
      <c r="P730" s="19">
        <f t="shared" si="23"/>
        <v>11252</v>
      </c>
      <c r="Q730" t="s">
        <v>23</v>
      </c>
      <c r="R730" t="s">
        <v>66</v>
      </c>
      <c r="T730">
        <v>2</v>
      </c>
      <c r="U730" s="19">
        <v>2404</v>
      </c>
      <c r="V730">
        <v>1</v>
      </c>
      <c r="W730" s="19">
        <v>2076</v>
      </c>
      <c r="X730">
        <v>1</v>
      </c>
      <c r="Y730" s="19">
        <v>1912</v>
      </c>
      <c r="Z730">
        <v>2</v>
      </c>
      <c r="AA730" s="19">
        <v>1748</v>
      </c>
      <c r="AB730">
        <v>2</v>
      </c>
      <c r="AC730" s="19">
        <v>1311</v>
      </c>
      <c r="AD730">
        <v>1</v>
      </c>
      <c r="AE730" s="19">
        <v>1093</v>
      </c>
      <c r="AF730">
        <v>0</v>
      </c>
      <c r="AG730" s="19">
        <v>0</v>
      </c>
      <c r="AH730">
        <v>5</v>
      </c>
      <c r="AI730" s="19">
        <v>765</v>
      </c>
      <c r="AJ730">
        <v>4</v>
      </c>
      <c r="AK730" s="19">
        <v>306</v>
      </c>
      <c r="AL730">
        <v>3</v>
      </c>
      <c r="AM730" s="19">
        <v>459</v>
      </c>
      <c r="AN730">
        <v>2</v>
      </c>
      <c r="AO730" s="19">
        <v>328</v>
      </c>
      <c r="AP730">
        <v>2</v>
      </c>
      <c r="AQ730" s="19">
        <v>546</v>
      </c>
    </row>
    <row r="731" spans="1:43" x14ac:dyDescent="0.35">
      <c r="A731" s="18">
        <v>46019</v>
      </c>
      <c r="B731" t="s">
        <v>62</v>
      </c>
      <c r="C731" t="s">
        <v>61</v>
      </c>
      <c r="D731">
        <v>21</v>
      </c>
      <c r="E731">
        <v>9</v>
      </c>
      <c r="F731">
        <v>12</v>
      </c>
      <c r="G731" s="19">
        <v>11206</v>
      </c>
      <c r="H731" s="19">
        <v>7037</v>
      </c>
      <c r="I731" s="19">
        <v>4169</v>
      </c>
      <c r="J731" s="19">
        <v>290</v>
      </c>
      <c r="K731" s="19">
        <v>113</v>
      </c>
      <c r="L731" s="19">
        <v>806</v>
      </c>
      <c r="M731" s="19">
        <v>247</v>
      </c>
      <c r="N731" s="19">
        <v>170</v>
      </c>
      <c r="O731" s="19">
        <f t="shared" si="22"/>
        <v>1626</v>
      </c>
      <c r="P731" s="19">
        <f t="shared" si="23"/>
        <v>9580</v>
      </c>
      <c r="Q731" t="s">
        <v>23</v>
      </c>
      <c r="R731" t="s">
        <v>66</v>
      </c>
      <c r="T731">
        <v>2</v>
      </c>
      <c r="U731" s="19">
        <v>2328</v>
      </c>
      <c r="V731">
        <v>1</v>
      </c>
      <c r="W731" s="19">
        <v>2011</v>
      </c>
      <c r="X731">
        <v>1</v>
      </c>
      <c r="Y731" s="19">
        <v>1852</v>
      </c>
      <c r="Z731">
        <v>1</v>
      </c>
      <c r="AA731" s="19">
        <v>847</v>
      </c>
      <c r="AB731">
        <v>2</v>
      </c>
      <c r="AC731" s="19">
        <v>1270</v>
      </c>
      <c r="AD731">
        <v>1</v>
      </c>
      <c r="AE731" s="19">
        <v>1058</v>
      </c>
      <c r="AF731">
        <v>0</v>
      </c>
      <c r="AG731" s="19">
        <v>0</v>
      </c>
      <c r="AH731">
        <v>4</v>
      </c>
      <c r="AI731" s="19">
        <v>593</v>
      </c>
      <c r="AJ731">
        <v>3</v>
      </c>
      <c r="AK731" s="19">
        <v>222</v>
      </c>
      <c r="AL731">
        <v>3</v>
      </c>
      <c r="AM731" s="19">
        <v>444</v>
      </c>
      <c r="AN731">
        <v>2</v>
      </c>
      <c r="AO731" s="19">
        <v>317</v>
      </c>
      <c r="AP731">
        <v>1</v>
      </c>
      <c r="AQ731" s="19">
        <v>265</v>
      </c>
    </row>
    <row r="732" spans="1:43" x14ac:dyDescent="0.35">
      <c r="A732" s="18">
        <v>46020</v>
      </c>
      <c r="B732" t="s">
        <v>52</v>
      </c>
      <c r="C732" t="s">
        <v>53</v>
      </c>
      <c r="D732">
        <v>16</v>
      </c>
      <c r="E732">
        <v>9</v>
      </c>
      <c r="F732">
        <v>7</v>
      </c>
      <c r="G732" s="19">
        <v>8827</v>
      </c>
      <c r="H732" s="19">
        <v>6873</v>
      </c>
      <c r="I732" s="19">
        <v>1954</v>
      </c>
      <c r="J732" s="19">
        <v>290</v>
      </c>
      <c r="K732" s="19">
        <v>113</v>
      </c>
      <c r="L732" s="19">
        <v>806</v>
      </c>
      <c r="M732" s="19">
        <v>195</v>
      </c>
      <c r="N732" s="19">
        <v>130</v>
      </c>
      <c r="O732" s="19">
        <f t="shared" si="22"/>
        <v>1534</v>
      </c>
      <c r="P732" s="19">
        <f t="shared" si="23"/>
        <v>7293</v>
      </c>
      <c r="Q732" t="s">
        <v>24</v>
      </c>
      <c r="R732" t="s">
        <v>66</v>
      </c>
      <c r="T732">
        <v>1</v>
      </c>
      <c r="U732" s="19">
        <v>1137</v>
      </c>
      <c r="V732">
        <v>1</v>
      </c>
      <c r="W732" s="19">
        <v>1964</v>
      </c>
      <c r="X732">
        <v>1</v>
      </c>
      <c r="Y732" s="19">
        <v>1809</v>
      </c>
      <c r="Z732">
        <v>1</v>
      </c>
      <c r="AA732" s="19">
        <v>827</v>
      </c>
      <c r="AB732">
        <v>1</v>
      </c>
      <c r="AC732" s="19">
        <v>620</v>
      </c>
      <c r="AD732">
        <v>1</v>
      </c>
      <c r="AE732" s="19">
        <v>1034</v>
      </c>
      <c r="AF732">
        <v>0</v>
      </c>
      <c r="AG732" s="19">
        <v>0</v>
      </c>
      <c r="AH732">
        <v>3</v>
      </c>
      <c r="AI732" s="19">
        <v>434</v>
      </c>
      <c r="AJ732">
        <v>2</v>
      </c>
      <c r="AK732" s="19">
        <v>145</v>
      </c>
      <c r="AL732">
        <v>2</v>
      </c>
      <c r="AM732" s="19">
        <v>289</v>
      </c>
      <c r="AN732">
        <v>2</v>
      </c>
      <c r="AO732" s="19">
        <v>310</v>
      </c>
      <c r="AP732">
        <v>1</v>
      </c>
      <c r="AQ732" s="19">
        <v>258</v>
      </c>
    </row>
    <row r="733" spans="1:43" x14ac:dyDescent="0.35">
      <c r="A733" s="18">
        <v>46021</v>
      </c>
      <c r="B733" t="s">
        <v>56</v>
      </c>
      <c r="C733" t="s">
        <v>53</v>
      </c>
      <c r="D733">
        <v>21</v>
      </c>
      <c r="E733">
        <v>11</v>
      </c>
      <c r="F733">
        <v>10</v>
      </c>
      <c r="G733" s="19">
        <v>11394</v>
      </c>
      <c r="H733" s="19">
        <v>7833</v>
      </c>
      <c r="I733" s="19">
        <v>3561</v>
      </c>
      <c r="J733" s="19">
        <v>290</v>
      </c>
      <c r="K733" s="19">
        <v>113</v>
      </c>
      <c r="L733" s="19">
        <v>806</v>
      </c>
      <c r="M733" s="19">
        <v>251</v>
      </c>
      <c r="N733" s="19">
        <v>170</v>
      </c>
      <c r="O733" s="19">
        <f t="shared" si="22"/>
        <v>1630</v>
      </c>
      <c r="P733" s="19">
        <f t="shared" si="23"/>
        <v>9764</v>
      </c>
      <c r="Q733" t="s">
        <v>23</v>
      </c>
      <c r="R733" t="s">
        <v>66</v>
      </c>
      <c r="T733">
        <v>2</v>
      </c>
      <c r="U733" s="19">
        <v>2448</v>
      </c>
      <c r="V733">
        <v>1</v>
      </c>
      <c r="W733" s="19">
        <v>2114</v>
      </c>
      <c r="X733">
        <v>1</v>
      </c>
      <c r="Y733" s="19">
        <v>1947</v>
      </c>
      <c r="Z733">
        <v>1</v>
      </c>
      <c r="AA733" s="19">
        <v>890</v>
      </c>
      <c r="AB733">
        <v>1</v>
      </c>
      <c r="AC733" s="19">
        <v>668</v>
      </c>
      <c r="AD733">
        <v>1</v>
      </c>
      <c r="AE733" s="19">
        <v>1113</v>
      </c>
      <c r="AF733">
        <v>0</v>
      </c>
      <c r="AG733" s="19">
        <v>0</v>
      </c>
      <c r="AH733">
        <v>4</v>
      </c>
      <c r="AI733" s="19">
        <v>623</v>
      </c>
      <c r="AJ733">
        <v>3</v>
      </c>
      <c r="AK733" s="19">
        <v>234</v>
      </c>
      <c r="AL733">
        <v>3</v>
      </c>
      <c r="AM733" s="19">
        <v>467</v>
      </c>
      <c r="AN733">
        <v>2</v>
      </c>
      <c r="AO733" s="19">
        <v>334</v>
      </c>
      <c r="AP733">
        <v>2</v>
      </c>
      <c r="AQ733" s="19">
        <v>556</v>
      </c>
    </row>
    <row r="734" spans="1:43" x14ac:dyDescent="0.35">
      <c r="A734" s="18">
        <v>46022</v>
      </c>
      <c r="B734" t="s">
        <v>57</v>
      </c>
      <c r="C734" t="s">
        <v>53</v>
      </c>
      <c r="D734">
        <v>22</v>
      </c>
      <c r="E734">
        <v>11</v>
      </c>
      <c r="F734">
        <v>11</v>
      </c>
      <c r="G734" s="19">
        <v>11404</v>
      </c>
      <c r="H734" s="19">
        <v>7406</v>
      </c>
      <c r="I734" s="19">
        <v>3998</v>
      </c>
      <c r="J734" s="19">
        <v>290</v>
      </c>
      <c r="K734" s="19">
        <v>113</v>
      </c>
      <c r="L734" s="19">
        <v>806</v>
      </c>
      <c r="M734" s="19">
        <v>252</v>
      </c>
      <c r="N734" s="19">
        <v>178</v>
      </c>
      <c r="O734" s="19">
        <f t="shared" si="22"/>
        <v>1639</v>
      </c>
      <c r="P734" s="19">
        <f t="shared" si="23"/>
        <v>9765</v>
      </c>
      <c r="Q734" t="s">
        <v>23</v>
      </c>
      <c r="R734" t="s">
        <v>66</v>
      </c>
      <c r="T734">
        <v>2</v>
      </c>
      <c r="U734" s="19">
        <v>2314</v>
      </c>
      <c r="V734">
        <v>1</v>
      </c>
      <c r="W734" s="19">
        <v>1999</v>
      </c>
      <c r="X734">
        <v>1</v>
      </c>
      <c r="Y734" s="19">
        <v>1841</v>
      </c>
      <c r="Z734">
        <v>1</v>
      </c>
      <c r="AA734" s="19">
        <v>842</v>
      </c>
      <c r="AB734">
        <v>2</v>
      </c>
      <c r="AC734" s="19">
        <v>1262</v>
      </c>
      <c r="AD734">
        <v>1</v>
      </c>
      <c r="AE734" s="19">
        <v>1052</v>
      </c>
      <c r="AF734">
        <v>0</v>
      </c>
      <c r="AG734" s="19">
        <v>0</v>
      </c>
      <c r="AH734">
        <v>4</v>
      </c>
      <c r="AI734" s="19">
        <v>589</v>
      </c>
      <c r="AJ734">
        <v>3</v>
      </c>
      <c r="AK734" s="19">
        <v>221</v>
      </c>
      <c r="AL734">
        <v>3</v>
      </c>
      <c r="AM734" s="19">
        <v>442</v>
      </c>
      <c r="AN734">
        <v>2</v>
      </c>
      <c r="AO734" s="19">
        <v>316</v>
      </c>
      <c r="AP734">
        <v>2</v>
      </c>
      <c r="AQ734" s="19">
        <v>526</v>
      </c>
    </row>
  </sheetData>
  <mergeCells count="14">
    <mergeCell ref="AJ2:AK2"/>
    <mergeCell ref="AL2:AM2"/>
    <mergeCell ref="AN2:AO2"/>
    <mergeCell ref="AP2:AQ2"/>
    <mergeCell ref="Z2:AA2"/>
    <mergeCell ref="AB2:AC2"/>
    <mergeCell ref="AD2:AE2"/>
    <mergeCell ref="AF2:AG2"/>
    <mergeCell ref="AH2:AI2"/>
    <mergeCell ref="A1:R1"/>
    <mergeCell ref="A2:R2"/>
    <mergeCell ref="T2:U2"/>
    <mergeCell ref="V2:W2"/>
    <mergeCell ref="X2:Y2"/>
  </mergeCells>
  <conditionalFormatting sqref="C4:C734">
    <cfRule type="cellIs" dxfId="40" priority="2" operator="equal">
      <formula>"Weekend"</formula>
    </cfRule>
  </conditionalFormatting>
  <conditionalFormatting sqref="P4:P734">
    <cfRule type="cellIs" dxfId="39" priority="5" operator="lessThan">
      <formula>0</formula>
    </cfRule>
  </conditionalFormatting>
  <conditionalFormatting sqref="R4:R734">
    <cfRule type="expression" dxfId="38" priority="3">
      <formula>LEFT(R4,4)="Peak"</formula>
    </cfRule>
    <cfRule type="expression" dxfId="37" priority="4">
      <formula>LEFT(R4,3)="Low"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zoomScaleNormal="100" workbookViewId="0">
      <selection activeCell="H4" sqref="H4"/>
    </sheetView>
  </sheetViews>
  <sheetFormatPr defaultColWidth="8.6328125" defaultRowHeight="14.5" x14ac:dyDescent="0.35"/>
  <cols>
    <col min="1" max="1" width="17.36328125" bestFit="1" customWidth="1"/>
    <col min="2" max="2" width="4.81640625" bestFit="1" customWidth="1"/>
    <col min="3" max="3" width="8.6328125" bestFit="1" customWidth="1"/>
    <col min="4" max="4" width="11.26953125" bestFit="1" customWidth="1"/>
    <col min="5" max="5" width="17.26953125" bestFit="1" customWidth="1"/>
    <col min="6" max="6" width="13.54296875" bestFit="1" customWidth="1"/>
    <col min="7" max="7" width="12.26953125" bestFit="1" customWidth="1"/>
    <col min="8" max="8" width="15.1796875" bestFit="1" customWidth="1"/>
    <col min="9" max="9" width="18.81640625" bestFit="1" customWidth="1"/>
    <col min="10" max="10" width="15.54296875" bestFit="1" customWidth="1"/>
    <col min="11" max="11" width="11.1796875" bestFit="1" customWidth="1"/>
  </cols>
  <sheetData>
    <row r="1" spans="1:11" ht="18" x14ac:dyDescent="0.35">
      <c r="A1" s="3" t="s">
        <v>67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7.75" customHeight="1" x14ac:dyDescent="0.35">
      <c r="A2" s="11" t="s">
        <v>68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35">
      <c r="A3" s="13" t="s">
        <v>69</v>
      </c>
      <c r="B3" s="13" t="s">
        <v>70</v>
      </c>
      <c r="C3" s="13" t="s">
        <v>38</v>
      </c>
      <c r="D3" s="13" t="s">
        <v>41</v>
      </c>
      <c r="E3" s="13" t="s">
        <v>49</v>
      </c>
      <c r="F3" s="13" t="s">
        <v>50</v>
      </c>
      <c r="G3" s="13" t="s">
        <v>71</v>
      </c>
      <c r="H3" s="13" t="s">
        <v>72</v>
      </c>
      <c r="I3" s="13" t="s">
        <v>73</v>
      </c>
      <c r="J3" s="13" t="s">
        <v>74</v>
      </c>
      <c r="K3" s="13" t="s">
        <v>8</v>
      </c>
    </row>
    <row r="4" spans="1:11" x14ac:dyDescent="0.35">
      <c r="A4" t="s">
        <v>75</v>
      </c>
      <c r="B4">
        <v>2024</v>
      </c>
      <c r="C4">
        <f>SUMPRODUCT(('Daily Data'!$A$4:$A$734&gt;=DATE(2024,1,1))*('Daily Data'!$A$4:$A$734&lt;DATE(2024,2,1))*'Daily Data'!$D$4:$D$734)</f>
        <v>179</v>
      </c>
      <c r="D4" s="19">
        <f>SUMPRODUCT(('Daily Data'!$A$4:$A$734&gt;=DATE(2024,1,1))*('Daily Data'!$A$4:$A$734&lt;DATE(2024,2,1))*'Daily Data'!$G$4:$G$734)</f>
        <v>96327</v>
      </c>
      <c r="E4" s="19">
        <f>SUMPRODUCT(('Daily Data'!$A$4:$A$734&gt;=DATE(2024,1,1))*('Daily Data'!$A$4:$A$734&lt;DATE(2024,2,1))*'Daily Data'!$O$4:$O$734)</f>
        <v>38764</v>
      </c>
      <c r="F4" s="19">
        <f t="shared" ref="F4:F27" si="0">D4-E4</f>
        <v>57563</v>
      </c>
      <c r="G4" s="20">
        <f t="shared" ref="G4:G27" si="1">IF(D4=0,0,F4/D4)</f>
        <v>0.59757907959346812</v>
      </c>
      <c r="H4" t="s">
        <v>76</v>
      </c>
      <c r="I4" t="s">
        <v>77</v>
      </c>
      <c r="J4" t="s">
        <v>76</v>
      </c>
      <c r="K4" t="s">
        <v>63</v>
      </c>
    </row>
    <row r="5" spans="1:11" x14ac:dyDescent="0.35">
      <c r="A5" t="s">
        <v>78</v>
      </c>
      <c r="B5">
        <v>2024</v>
      </c>
      <c r="C5">
        <f>SUMPRODUCT(('Daily Data'!$A$4:$A$734&gt;=DATE(2024,2,1))*('Daily Data'!$A$4:$A$734&lt;DATE(2024,3,1))*'Daily Data'!$D$4:$D$734)</f>
        <v>218</v>
      </c>
      <c r="D5" s="19">
        <f>SUMPRODUCT(('Daily Data'!$A$4:$A$734&gt;=DATE(2024,2,1))*('Daily Data'!$A$4:$A$734&lt;DATE(2024,3,1))*'Daily Data'!$G$4:$G$734)</f>
        <v>116075</v>
      </c>
      <c r="E5" s="19">
        <f>SUMPRODUCT(('Daily Data'!$A$4:$A$734&gt;=DATE(2024,2,1))*('Daily Data'!$A$4:$A$734&lt;DATE(2024,3,1))*'Daily Data'!$O$4:$O$734)</f>
        <v>39627</v>
      </c>
      <c r="F5" s="19">
        <f t="shared" si="0"/>
        <v>76448</v>
      </c>
      <c r="G5" s="20">
        <f t="shared" si="1"/>
        <v>0.65860865819513248</v>
      </c>
      <c r="H5" s="20">
        <f t="shared" ref="H5:H27" si="2">IF(D4=0,0,(D5-D4)/D4)</f>
        <v>0.20501001795965826</v>
      </c>
      <c r="I5" t="str">
        <f t="shared" ref="I5:I27" si="3">IF(D5&gt;=D4,"▲ Increase","▼ Decrease")</f>
        <v>▲ Increase</v>
      </c>
      <c r="J5" s="20">
        <f t="shared" ref="J5:J27" si="4">IF(C4=0,0,(C5-C4)/C4)</f>
        <v>0.21787709497206703</v>
      </c>
      <c r="K5" t="s">
        <v>63</v>
      </c>
    </row>
    <row r="6" spans="1:11" x14ac:dyDescent="0.35">
      <c r="A6" t="s">
        <v>79</v>
      </c>
      <c r="B6">
        <v>2024</v>
      </c>
      <c r="C6">
        <f>SUMPRODUCT(('Daily Data'!$A$4:$A$734&gt;=DATE(2024,3,1))*('Daily Data'!$A$4:$A$734&lt;DATE(2024,4,1))*'Daily Data'!$D$4:$D$734)</f>
        <v>247</v>
      </c>
      <c r="D6" s="19">
        <f>SUMPRODUCT(('Daily Data'!$A$4:$A$734&gt;=DATE(2024,3,1))*('Daily Data'!$A$4:$A$734&lt;DATE(2024,4,1))*'Daily Data'!$G$4:$G$734)</f>
        <v>132536</v>
      </c>
      <c r="E6" s="19">
        <f>SUMPRODUCT(('Daily Data'!$A$4:$A$734&gt;=DATE(2024,3,1))*('Daily Data'!$A$4:$A$734&lt;DATE(2024,4,1))*'Daily Data'!$O$4:$O$734)</f>
        <v>40426</v>
      </c>
      <c r="F6" s="19">
        <f t="shared" si="0"/>
        <v>92110</v>
      </c>
      <c r="G6" s="20">
        <f t="shared" si="1"/>
        <v>0.69498098629806238</v>
      </c>
      <c r="H6" s="20">
        <f t="shared" si="2"/>
        <v>0.14181348266207194</v>
      </c>
      <c r="I6" t="str">
        <f t="shared" si="3"/>
        <v>▲ Increase</v>
      </c>
      <c r="J6" s="20">
        <f t="shared" si="4"/>
        <v>0.13302752293577982</v>
      </c>
      <c r="K6" t="s">
        <v>80</v>
      </c>
    </row>
    <row r="7" spans="1:11" x14ac:dyDescent="0.35">
      <c r="A7" t="s">
        <v>81</v>
      </c>
      <c r="B7">
        <v>2024</v>
      </c>
      <c r="C7">
        <f>SUMPRODUCT(('Daily Data'!$A$4:$A$734&gt;=DATE(2024,4,1))*('Daily Data'!$A$4:$A$734&lt;DATE(2024,5,1))*'Daily Data'!$D$4:$D$734)</f>
        <v>240</v>
      </c>
      <c r="D7" s="19">
        <f>SUMPRODUCT(('Daily Data'!$A$4:$A$734&gt;=DATE(2024,4,1))*('Daily Data'!$A$4:$A$734&lt;DATE(2024,5,1))*'Daily Data'!$G$4:$G$734)</f>
        <v>127508</v>
      </c>
      <c r="E7" s="19">
        <f>SUMPRODUCT(('Daily Data'!$A$4:$A$734&gt;=DATE(2024,4,1))*('Daily Data'!$A$4:$A$734&lt;DATE(2024,5,1))*'Daily Data'!$O$4:$O$734)</f>
        <v>40552</v>
      </c>
      <c r="F7" s="19">
        <f t="shared" si="0"/>
        <v>86956</v>
      </c>
      <c r="G7" s="20">
        <f t="shared" si="1"/>
        <v>0.68196505317313427</v>
      </c>
      <c r="H7" s="20">
        <f t="shared" si="2"/>
        <v>-3.7936862437375506E-2</v>
      </c>
      <c r="I7" t="str">
        <f t="shared" si="3"/>
        <v>▼ Decrease</v>
      </c>
      <c r="J7" s="20">
        <f t="shared" si="4"/>
        <v>-2.8340080971659919E-2</v>
      </c>
      <c r="K7" t="s">
        <v>80</v>
      </c>
    </row>
    <row r="8" spans="1:11" x14ac:dyDescent="0.35">
      <c r="A8" t="s">
        <v>82</v>
      </c>
      <c r="B8">
        <v>2024</v>
      </c>
      <c r="C8">
        <f>SUMPRODUCT(('Daily Data'!$A$4:$A$734&gt;=DATE(2024,5,1))*('Daily Data'!$A$4:$A$734&lt;DATE(2024,6,1))*'Daily Data'!$D$4:$D$734)</f>
        <v>274</v>
      </c>
      <c r="D8" s="19">
        <f>SUMPRODUCT(('Daily Data'!$A$4:$A$734&gt;=DATE(2024,5,1))*('Daily Data'!$A$4:$A$734&lt;DATE(2024,6,1))*'Daily Data'!$G$4:$G$734)</f>
        <v>145616</v>
      </c>
      <c r="E8" s="19">
        <f>SUMPRODUCT(('Daily Data'!$A$4:$A$734&gt;=DATE(2024,5,1))*('Daily Data'!$A$4:$A$734&lt;DATE(2024,6,1))*'Daily Data'!$O$4:$O$734)</f>
        <v>41300</v>
      </c>
      <c r="F8" s="19">
        <f t="shared" si="0"/>
        <v>104316</v>
      </c>
      <c r="G8" s="20">
        <f t="shared" si="1"/>
        <v>0.71637732117349739</v>
      </c>
      <c r="H8" s="20">
        <f t="shared" si="2"/>
        <v>0.14201461869059195</v>
      </c>
      <c r="I8" t="str">
        <f t="shared" si="3"/>
        <v>▲ Increase</v>
      </c>
      <c r="J8" s="20">
        <f t="shared" si="4"/>
        <v>0.14166666666666666</v>
      </c>
      <c r="K8" t="s">
        <v>80</v>
      </c>
    </row>
    <row r="9" spans="1:11" x14ac:dyDescent="0.35">
      <c r="A9" t="s">
        <v>83</v>
      </c>
      <c r="B9">
        <v>2024</v>
      </c>
      <c r="C9">
        <f>SUMPRODUCT(('Daily Data'!$A$4:$A$734&gt;=DATE(2024,6,1))*('Daily Data'!$A$4:$A$734&lt;DATE(2024,7,1))*'Daily Data'!$D$4:$D$734)</f>
        <v>201</v>
      </c>
      <c r="D9" s="19">
        <f>SUMPRODUCT(('Daily Data'!$A$4:$A$734&gt;=DATE(2024,6,1))*('Daily Data'!$A$4:$A$734&lt;DATE(2024,7,1))*'Daily Data'!$G$4:$G$734)</f>
        <v>106279</v>
      </c>
      <c r="E9" s="19">
        <f>SUMPRODUCT(('Daily Data'!$A$4:$A$734&gt;=DATE(2024,6,1))*('Daily Data'!$A$4:$A$734&lt;DATE(2024,7,1))*'Daily Data'!$O$4:$O$734)</f>
        <v>39472</v>
      </c>
      <c r="F9" s="19">
        <f t="shared" si="0"/>
        <v>66807</v>
      </c>
      <c r="G9" s="20">
        <f t="shared" si="1"/>
        <v>0.62860019382944887</v>
      </c>
      <c r="H9" s="20">
        <f t="shared" si="2"/>
        <v>-0.27014201736072957</v>
      </c>
      <c r="I9" t="str">
        <f t="shared" si="3"/>
        <v>▼ Decrease</v>
      </c>
      <c r="J9" s="20">
        <f t="shared" si="4"/>
        <v>-0.26642335766423358</v>
      </c>
      <c r="K9" t="s">
        <v>84</v>
      </c>
    </row>
    <row r="10" spans="1:11" x14ac:dyDescent="0.35">
      <c r="A10" t="s">
        <v>85</v>
      </c>
      <c r="B10">
        <v>2024</v>
      </c>
      <c r="C10">
        <f>SUMPRODUCT(('Daily Data'!$A$4:$A$734&gt;=DATE(2024,7,1))*('Daily Data'!$A$4:$A$734&lt;DATE(2024,8,1))*'Daily Data'!$D$4:$D$734)</f>
        <v>181</v>
      </c>
      <c r="D10" s="19">
        <f>SUMPRODUCT(('Daily Data'!$A$4:$A$734&gt;=DATE(2024,7,1))*('Daily Data'!$A$4:$A$734&lt;DATE(2024,8,1))*'Daily Data'!$G$4:$G$734)</f>
        <v>96561</v>
      </c>
      <c r="E10" s="19">
        <f>SUMPRODUCT(('Daily Data'!$A$4:$A$734&gt;=DATE(2024,7,1))*('Daily Data'!$A$4:$A$734&lt;DATE(2024,8,1))*'Daily Data'!$O$4:$O$734)</f>
        <v>38778</v>
      </c>
      <c r="F10" s="19">
        <f t="shared" si="0"/>
        <v>57783</v>
      </c>
      <c r="G10" s="20">
        <f t="shared" si="1"/>
        <v>0.59840929567837942</v>
      </c>
      <c r="H10" s="20">
        <f t="shared" si="2"/>
        <v>-9.1438572060331763E-2</v>
      </c>
      <c r="I10" t="str">
        <f t="shared" si="3"/>
        <v>▼ Decrease</v>
      </c>
      <c r="J10" s="20">
        <f t="shared" si="4"/>
        <v>-9.950248756218906E-2</v>
      </c>
      <c r="K10" t="s">
        <v>84</v>
      </c>
    </row>
    <row r="11" spans="1:11" x14ac:dyDescent="0.35">
      <c r="A11" t="s">
        <v>86</v>
      </c>
      <c r="B11">
        <v>2024</v>
      </c>
      <c r="C11">
        <f>SUMPRODUCT(('Daily Data'!$A$4:$A$734&gt;=DATE(2024,8,1))*('Daily Data'!$A$4:$A$734&lt;DATE(2024,9,1))*'Daily Data'!$D$4:$D$734)</f>
        <v>192</v>
      </c>
      <c r="D11" s="19">
        <f>SUMPRODUCT(('Daily Data'!$A$4:$A$734&gt;=DATE(2024,8,1))*('Daily Data'!$A$4:$A$734&lt;DATE(2024,9,1))*'Daily Data'!$G$4:$G$734)</f>
        <v>101935</v>
      </c>
      <c r="E11" s="19">
        <f>SUMPRODUCT(('Daily Data'!$A$4:$A$734&gt;=DATE(2024,8,1))*('Daily Data'!$A$4:$A$734&lt;DATE(2024,9,1))*'Daily Data'!$O$4:$O$734)</f>
        <v>38992</v>
      </c>
      <c r="F11" s="19">
        <f t="shared" si="0"/>
        <v>62943</v>
      </c>
      <c r="G11" s="20">
        <f t="shared" si="1"/>
        <v>0.61748172855250893</v>
      </c>
      <c r="H11" s="20">
        <f t="shared" si="2"/>
        <v>5.5653938960864117E-2</v>
      </c>
      <c r="I11" t="str">
        <f t="shared" si="3"/>
        <v>▲ Increase</v>
      </c>
      <c r="J11" s="20">
        <f t="shared" si="4"/>
        <v>6.0773480662983423E-2</v>
      </c>
      <c r="K11" t="s">
        <v>84</v>
      </c>
    </row>
    <row r="12" spans="1:11" x14ac:dyDescent="0.35">
      <c r="A12" t="s">
        <v>87</v>
      </c>
      <c r="B12">
        <v>2024</v>
      </c>
      <c r="C12">
        <f>SUMPRODUCT(('Daily Data'!$A$4:$A$734&gt;=DATE(2024,9,1))*('Daily Data'!$A$4:$A$734&lt;DATE(2024,10,1))*'Daily Data'!$D$4:$D$734)</f>
        <v>191</v>
      </c>
      <c r="D12" s="19">
        <f>SUMPRODUCT(('Daily Data'!$A$4:$A$734&gt;=DATE(2024,9,1))*('Daily Data'!$A$4:$A$734&lt;DATE(2024,10,1))*'Daily Data'!$G$4:$G$734)</f>
        <v>102291</v>
      </c>
      <c r="E12" s="19">
        <f>SUMPRODUCT(('Daily Data'!$A$4:$A$734&gt;=DATE(2024,9,1))*('Daily Data'!$A$4:$A$734&lt;DATE(2024,10,1))*'Daily Data'!$O$4:$O$734)</f>
        <v>39000</v>
      </c>
      <c r="F12" s="19">
        <f t="shared" si="0"/>
        <v>63291</v>
      </c>
      <c r="G12" s="20">
        <f t="shared" si="1"/>
        <v>0.61873478605155874</v>
      </c>
      <c r="H12" s="20">
        <f t="shared" si="2"/>
        <v>3.4924216412419678E-3</v>
      </c>
      <c r="I12" t="str">
        <f t="shared" si="3"/>
        <v>▲ Increase</v>
      </c>
      <c r="J12" s="20">
        <f t="shared" si="4"/>
        <v>-5.208333333333333E-3</v>
      </c>
      <c r="K12" t="s">
        <v>84</v>
      </c>
    </row>
    <row r="13" spans="1:11" x14ac:dyDescent="0.35">
      <c r="A13" t="s">
        <v>88</v>
      </c>
      <c r="B13">
        <v>2024</v>
      </c>
      <c r="C13">
        <f>SUMPRODUCT(('Daily Data'!$A$4:$A$734&gt;=DATE(2024,10,1))*('Daily Data'!$A$4:$A$734&lt;DATE(2024,11,1))*'Daily Data'!$D$4:$D$734)</f>
        <v>222</v>
      </c>
      <c r="D13" s="19">
        <f>SUMPRODUCT(('Daily Data'!$A$4:$A$734&gt;=DATE(2024,10,1))*('Daily Data'!$A$4:$A$734&lt;DATE(2024,11,1))*'Daily Data'!$G$4:$G$734)</f>
        <v>119752</v>
      </c>
      <c r="E13" s="19">
        <f>SUMPRODUCT(('Daily Data'!$A$4:$A$734&gt;=DATE(2024,10,1))*('Daily Data'!$A$4:$A$734&lt;DATE(2024,11,1))*'Daily Data'!$O$4:$O$734)</f>
        <v>39727</v>
      </c>
      <c r="F13" s="19">
        <f t="shared" si="0"/>
        <v>80025</v>
      </c>
      <c r="G13" s="20">
        <f t="shared" si="1"/>
        <v>0.66825606252922709</v>
      </c>
      <c r="H13" s="20">
        <f t="shared" si="2"/>
        <v>0.17069927950650596</v>
      </c>
      <c r="I13" t="str">
        <f t="shared" si="3"/>
        <v>▲ Increase</v>
      </c>
      <c r="J13" s="20">
        <f t="shared" si="4"/>
        <v>0.16230366492146597</v>
      </c>
      <c r="K13" t="s">
        <v>63</v>
      </c>
    </row>
    <row r="14" spans="1:11" x14ac:dyDescent="0.35">
      <c r="A14" t="s">
        <v>89</v>
      </c>
      <c r="B14">
        <v>2024</v>
      </c>
      <c r="C14">
        <f>SUMPRODUCT(('Daily Data'!$A$4:$A$734&gt;=DATE(2024,11,1))*('Daily Data'!$A$4:$A$734&lt;DATE(2024,12,1))*'Daily Data'!$D$4:$D$734)</f>
        <v>230</v>
      </c>
      <c r="D14" s="19">
        <f>SUMPRODUCT(('Daily Data'!$A$4:$A$734&gt;=DATE(2024,11,1))*('Daily Data'!$A$4:$A$734&lt;DATE(2024,12,1))*'Daily Data'!$G$4:$G$734)</f>
        <v>122428</v>
      </c>
      <c r="E14" s="19">
        <f>SUMPRODUCT(('Daily Data'!$A$4:$A$734&gt;=DATE(2024,11,1))*('Daily Data'!$A$4:$A$734&lt;DATE(2024,12,1))*'Daily Data'!$O$4:$O$734)</f>
        <v>40059</v>
      </c>
      <c r="F14" s="19">
        <f t="shared" si="0"/>
        <v>82369</v>
      </c>
      <c r="G14" s="20">
        <f t="shared" si="1"/>
        <v>0.67279543895187377</v>
      </c>
      <c r="H14" s="20">
        <f t="shared" si="2"/>
        <v>2.2346182109693365E-2</v>
      </c>
      <c r="I14" t="str">
        <f t="shared" si="3"/>
        <v>▲ Increase</v>
      </c>
      <c r="J14" s="20">
        <f t="shared" si="4"/>
        <v>3.6036036036036036E-2</v>
      </c>
      <c r="K14" t="s">
        <v>63</v>
      </c>
    </row>
    <row r="15" spans="1:11" x14ac:dyDescent="0.35">
      <c r="A15" t="s">
        <v>90</v>
      </c>
      <c r="B15">
        <v>2024</v>
      </c>
      <c r="C15">
        <f>SUMPRODUCT(('Daily Data'!$A$4:$A$734&gt;=DATE(2024,12,1))*('Daily Data'!$A$4:$A$734&lt;DATE(2025,1,1))*'Daily Data'!$D$4:$D$734)</f>
        <v>512</v>
      </c>
      <c r="D15" s="19">
        <f>SUMPRODUCT(('Daily Data'!$A$4:$A$734&gt;=DATE(2024,12,1))*('Daily Data'!$A$4:$A$734&lt;DATE(2025,1,1))*'Daily Data'!$G$4:$G$734)</f>
        <v>271882</v>
      </c>
      <c r="E15" s="19">
        <f>SUMPRODUCT(('Daily Data'!$A$4:$A$734&gt;=DATE(2024,12,1))*('Daily Data'!$A$4:$A$734&lt;DATE(2025,1,1))*'Daily Data'!$O$4:$O$734)</f>
        <v>47621</v>
      </c>
      <c r="F15" s="19">
        <f t="shared" si="0"/>
        <v>224261</v>
      </c>
      <c r="G15" s="20">
        <f t="shared" si="1"/>
        <v>0.82484680854194103</v>
      </c>
      <c r="H15" s="20">
        <f t="shared" si="2"/>
        <v>1.2207501551932565</v>
      </c>
      <c r="I15" t="str">
        <f t="shared" si="3"/>
        <v>▲ Increase</v>
      </c>
      <c r="J15" s="20">
        <f t="shared" si="4"/>
        <v>1.2260869565217392</v>
      </c>
      <c r="K15" t="s">
        <v>80</v>
      </c>
    </row>
    <row r="16" spans="1:11" x14ac:dyDescent="0.35">
      <c r="A16" t="s">
        <v>75</v>
      </c>
      <c r="B16">
        <v>2025</v>
      </c>
      <c r="C16">
        <f>SUMPRODUCT(('Daily Data'!$A$4:$A$734&gt;=DATE(2025,1,1))*('Daily Data'!$A$4:$A$734&lt;DATE(2025,2,1))*'Daily Data'!$D$4:$D$734)</f>
        <v>181</v>
      </c>
      <c r="D16" s="19">
        <f>SUMPRODUCT(('Daily Data'!$A$4:$A$734&gt;=DATE(2025,1,1))*('Daily Data'!$A$4:$A$734&lt;DATE(2025,2,1))*'Daily Data'!$G$4:$G$734)</f>
        <v>96490</v>
      </c>
      <c r="E16" s="19">
        <f>SUMPRODUCT(('Daily Data'!$A$4:$A$734&gt;=DATE(2025,1,1))*('Daily Data'!$A$4:$A$734&lt;DATE(2025,2,1))*'Daily Data'!$O$4:$O$734)</f>
        <v>38778</v>
      </c>
      <c r="F16" s="19">
        <f t="shared" si="0"/>
        <v>57712</v>
      </c>
      <c r="G16" s="20">
        <f t="shared" si="1"/>
        <v>0.59811379417556221</v>
      </c>
      <c r="H16" s="20">
        <f t="shared" si="2"/>
        <v>-0.64510339044144149</v>
      </c>
      <c r="I16" t="str">
        <f t="shared" si="3"/>
        <v>▼ Decrease</v>
      </c>
      <c r="J16" s="20">
        <f t="shared" si="4"/>
        <v>-0.646484375</v>
      </c>
      <c r="K16" t="s">
        <v>63</v>
      </c>
    </row>
    <row r="17" spans="1:11" x14ac:dyDescent="0.35">
      <c r="A17" t="s">
        <v>78</v>
      </c>
      <c r="B17">
        <v>2025</v>
      </c>
      <c r="C17">
        <f>SUMPRODUCT(('Daily Data'!$A$4:$A$734&gt;=DATE(2025,2,1))*('Daily Data'!$A$4:$A$734&lt;DATE(2025,3,1))*'Daily Data'!$D$4:$D$734)</f>
        <v>217</v>
      </c>
      <c r="D17" s="19">
        <f>SUMPRODUCT(('Daily Data'!$A$4:$A$734&gt;=DATE(2025,2,1))*('Daily Data'!$A$4:$A$734&lt;DATE(2025,3,1))*'Daily Data'!$G$4:$G$734)</f>
        <v>115730</v>
      </c>
      <c r="E17" s="19">
        <f>SUMPRODUCT(('Daily Data'!$A$4:$A$734&gt;=DATE(2025,2,1))*('Daily Data'!$A$4:$A$734&lt;DATE(2025,3,1))*'Daily Data'!$O$4:$O$734)</f>
        <v>39624</v>
      </c>
      <c r="F17" s="19">
        <f t="shared" si="0"/>
        <v>76106</v>
      </c>
      <c r="G17" s="20">
        <f t="shared" si="1"/>
        <v>0.65761686684524323</v>
      </c>
      <c r="H17" s="20">
        <f t="shared" si="2"/>
        <v>0.1993989014405638</v>
      </c>
      <c r="I17" t="str">
        <f t="shared" si="3"/>
        <v>▲ Increase</v>
      </c>
      <c r="J17" s="20">
        <f t="shared" si="4"/>
        <v>0.19889502762430938</v>
      </c>
      <c r="K17" t="s">
        <v>63</v>
      </c>
    </row>
    <row r="18" spans="1:11" x14ac:dyDescent="0.35">
      <c r="A18" t="s">
        <v>79</v>
      </c>
      <c r="B18">
        <v>2025</v>
      </c>
      <c r="C18">
        <f>SUMPRODUCT(('Daily Data'!$A$4:$A$734&gt;=DATE(2025,3,1))*('Daily Data'!$A$4:$A$734&lt;DATE(2025,4,1))*'Daily Data'!$D$4:$D$734)</f>
        <v>238</v>
      </c>
      <c r="D18" s="19">
        <f>SUMPRODUCT(('Daily Data'!$A$4:$A$734&gt;=DATE(2025,3,1))*('Daily Data'!$A$4:$A$734&lt;DATE(2025,4,1))*'Daily Data'!$G$4:$G$734)</f>
        <v>124840</v>
      </c>
      <c r="E18" s="19">
        <f>SUMPRODUCT(('Daily Data'!$A$4:$A$734&gt;=DATE(2025,3,1))*('Daily Data'!$A$4:$A$734&lt;DATE(2025,4,1))*'Daily Data'!$O$4:$O$734)</f>
        <v>40182</v>
      </c>
      <c r="F18" s="19">
        <f t="shared" si="0"/>
        <v>84658</v>
      </c>
      <c r="G18" s="20">
        <f t="shared" si="1"/>
        <v>0.67813200897148351</v>
      </c>
      <c r="H18" s="20">
        <f t="shared" si="2"/>
        <v>7.8717705003024274E-2</v>
      </c>
      <c r="I18" t="str">
        <f t="shared" si="3"/>
        <v>▲ Increase</v>
      </c>
      <c r="J18" s="20">
        <f t="shared" si="4"/>
        <v>9.6774193548387094E-2</v>
      </c>
      <c r="K18" t="s">
        <v>80</v>
      </c>
    </row>
    <row r="19" spans="1:11" x14ac:dyDescent="0.35">
      <c r="A19" t="s">
        <v>81</v>
      </c>
      <c r="B19">
        <v>2025</v>
      </c>
      <c r="C19">
        <f>SUMPRODUCT(('Daily Data'!$A$4:$A$734&gt;=DATE(2025,4,1))*('Daily Data'!$A$4:$A$734&lt;DATE(2025,5,1))*'Daily Data'!$D$4:$D$734)</f>
        <v>208</v>
      </c>
      <c r="D19" s="19">
        <f>SUMPRODUCT(('Daily Data'!$A$4:$A$734&gt;=DATE(2025,4,1))*('Daily Data'!$A$4:$A$734&lt;DATE(2025,5,1))*'Daily Data'!$G$4:$G$734)</f>
        <v>109480</v>
      </c>
      <c r="E19" s="19">
        <f>SUMPRODUCT(('Daily Data'!$A$4:$A$734&gt;=DATE(2025,4,1))*('Daily Data'!$A$4:$A$734&lt;DATE(2025,5,1))*'Daily Data'!$O$4:$O$734)</f>
        <v>39896</v>
      </c>
      <c r="F19" s="19">
        <f t="shared" si="0"/>
        <v>69584</v>
      </c>
      <c r="G19" s="20">
        <f t="shared" si="1"/>
        <v>0.63558640847643411</v>
      </c>
      <c r="H19" s="20">
        <f t="shared" si="2"/>
        <v>-0.12303748798462032</v>
      </c>
      <c r="I19" t="str">
        <f t="shared" si="3"/>
        <v>▼ Decrease</v>
      </c>
      <c r="J19" s="20">
        <f t="shared" si="4"/>
        <v>-0.12605042016806722</v>
      </c>
      <c r="K19" t="s">
        <v>80</v>
      </c>
    </row>
    <row r="20" spans="1:11" x14ac:dyDescent="0.35">
      <c r="A20" t="s">
        <v>82</v>
      </c>
      <c r="B20">
        <v>2025</v>
      </c>
      <c r="C20">
        <f>SUMPRODUCT(('Daily Data'!$A$4:$A$734&gt;=DATE(2025,5,1))*('Daily Data'!$A$4:$A$734&lt;DATE(2025,6,1))*'Daily Data'!$D$4:$D$734)</f>
        <v>238</v>
      </c>
      <c r="D20" s="19">
        <f>SUMPRODUCT(('Daily Data'!$A$4:$A$734&gt;=DATE(2025,5,1))*('Daily Data'!$A$4:$A$734&lt;DATE(2025,6,1))*'Daily Data'!$G$4:$G$734)</f>
        <v>124601</v>
      </c>
      <c r="E20" s="19">
        <f>SUMPRODUCT(('Daily Data'!$A$4:$A$734&gt;=DATE(2025,5,1))*('Daily Data'!$A$4:$A$734&lt;DATE(2025,6,1))*'Daily Data'!$O$4:$O$734)</f>
        <v>40550</v>
      </c>
      <c r="F20" s="19">
        <f t="shared" si="0"/>
        <v>84051</v>
      </c>
      <c r="G20" s="20">
        <f t="shared" si="1"/>
        <v>0.67456119934831982</v>
      </c>
      <c r="H20" s="20">
        <f t="shared" si="2"/>
        <v>0.13811655096821338</v>
      </c>
      <c r="I20" t="str">
        <f t="shared" si="3"/>
        <v>▲ Increase</v>
      </c>
      <c r="J20" s="20">
        <f t="shared" si="4"/>
        <v>0.14423076923076922</v>
      </c>
      <c r="K20" t="s">
        <v>80</v>
      </c>
    </row>
    <row r="21" spans="1:11" x14ac:dyDescent="0.35">
      <c r="A21" t="s">
        <v>83</v>
      </c>
      <c r="B21">
        <v>2025</v>
      </c>
      <c r="C21">
        <f>SUMPRODUCT(('Daily Data'!$A$4:$A$734&gt;=DATE(2025,6,1))*('Daily Data'!$A$4:$A$734&lt;DATE(2025,7,1))*'Daily Data'!$D$4:$D$734)</f>
        <v>199</v>
      </c>
      <c r="D21" s="19">
        <f>SUMPRODUCT(('Daily Data'!$A$4:$A$734&gt;=DATE(2025,6,1))*('Daily Data'!$A$4:$A$734&lt;DATE(2025,7,1))*'Daily Data'!$G$4:$G$734)</f>
        <v>106321</v>
      </c>
      <c r="E21" s="19">
        <f>SUMPRODUCT(('Daily Data'!$A$4:$A$734&gt;=DATE(2025,6,1))*('Daily Data'!$A$4:$A$734&lt;DATE(2025,7,1))*'Daily Data'!$O$4:$O$734)</f>
        <v>39458</v>
      </c>
      <c r="F21" s="19">
        <f t="shared" si="0"/>
        <v>66863</v>
      </c>
      <c r="G21" s="20">
        <f t="shared" si="1"/>
        <v>0.62887858466342494</v>
      </c>
      <c r="H21" s="20">
        <f t="shared" si="2"/>
        <v>-0.14670829287084372</v>
      </c>
      <c r="I21" t="str">
        <f t="shared" si="3"/>
        <v>▼ Decrease</v>
      </c>
      <c r="J21" s="20">
        <f t="shared" si="4"/>
        <v>-0.1638655462184874</v>
      </c>
      <c r="K21" t="s">
        <v>84</v>
      </c>
    </row>
    <row r="22" spans="1:11" x14ac:dyDescent="0.35">
      <c r="A22" t="s">
        <v>85</v>
      </c>
      <c r="B22">
        <v>2025</v>
      </c>
      <c r="C22">
        <f>SUMPRODUCT(('Daily Data'!$A$4:$A$734&gt;=DATE(2025,7,1))*('Daily Data'!$A$4:$A$734&lt;DATE(2025,8,1))*'Daily Data'!$D$4:$D$734)</f>
        <v>192</v>
      </c>
      <c r="D22" s="19">
        <f>SUMPRODUCT(('Daily Data'!$A$4:$A$734&gt;=DATE(2025,7,1))*('Daily Data'!$A$4:$A$734&lt;DATE(2025,8,1))*'Daily Data'!$G$4:$G$734)</f>
        <v>101003</v>
      </c>
      <c r="E22" s="19">
        <f>SUMPRODUCT(('Daily Data'!$A$4:$A$734&gt;=DATE(2025,7,1))*('Daily Data'!$A$4:$A$734&lt;DATE(2025,8,1))*'Daily Data'!$O$4:$O$734)</f>
        <v>38975</v>
      </c>
      <c r="F22" s="19">
        <f t="shared" si="0"/>
        <v>62028</v>
      </c>
      <c r="G22" s="20">
        <f t="shared" si="1"/>
        <v>0.6141203726621981</v>
      </c>
      <c r="H22" s="20">
        <f t="shared" si="2"/>
        <v>-5.0018340685283248E-2</v>
      </c>
      <c r="I22" t="str">
        <f t="shared" si="3"/>
        <v>▼ Decrease</v>
      </c>
      <c r="J22" s="20">
        <f t="shared" si="4"/>
        <v>-3.5175879396984924E-2</v>
      </c>
      <c r="K22" t="s">
        <v>84</v>
      </c>
    </row>
    <row r="23" spans="1:11" x14ac:dyDescent="0.35">
      <c r="A23" t="s">
        <v>86</v>
      </c>
      <c r="B23">
        <v>2025</v>
      </c>
      <c r="C23">
        <f>SUMPRODUCT(('Daily Data'!$A$4:$A$734&gt;=DATE(2025,8,1))*('Daily Data'!$A$4:$A$734&lt;DATE(2025,9,1))*'Daily Data'!$D$4:$D$734)</f>
        <v>199</v>
      </c>
      <c r="D23" s="19">
        <f>SUMPRODUCT(('Daily Data'!$A$4:$A$734&gt;=DATE(2025,8,1))*('Daily Data'!$A$4:$A$734&lt;DATE(2025,9,1))*'Daily Data'!$G$4:$G$734)</f>
        <v>103945</v>
      </c>
      <c r="E23" s="19">
        <f>SUMPRODUCT(('Daily Data'!$A$4:$A$734&gt;=DATE(2025,8,1))*('Daily Data'!$A$4:$A$734&lt;DATE(2025,9,1))*'Daily Data'!$O$4:$O$734)</f>
        <v>39099</v>
      </c>
      <c r="F23" s="19">
        <f t="shared" si="0"/>
        <v>64846</v>
      </c>
      <c r="G23" s="20">
        <f t="shared" si="1"/>
        <v>0.62384915099331373</v>
      </c>
      <c r="H23" s="20">
        <f t="shared" si="2"/>
        <v>2.9127847687692447E-2</v>
      </c>
      <c r="I23" t="str">
        <f t="shared" si="3"/>
        <v>▲ Increase</v>
      </c>
      <c r="J23" s="20">
        <f t="shared" si="4"/>
        <v>3.6458333333333336E-2</v>
      </c>
      <c r="K23" t="s">
        <v>84</v>
      </c>
    </row>
    <row r="24" spans="1:11" x14ac:dyDescent="0.35">
      <c r="A24" t="s">
        <v>87</v>
      </c>
      <c r="B24">
        <v>2025</v>
      </c>
      <c r="C24">
        <f>SUMPRODUCT(('Daily Data'!$A$4:$A$734&gt;=DATE(2025,9,1))*('Daily Data'!$A$4:$A$734&lt;DATE(2025,10,1))*'Daily Data'!$D$4:$D$734)</f>
        <v>198</v>
      </c>
      <c r="D24" s="19">
        <f>SUMPRODUCT(('Daily Data'!$A$4:$A$734&gt;=DATE(2025,9,1))*('Daily Data'!$A$4:$A$734&lt;DATE(2025,10,1))*'Daily Data'!$G$4:$G$734)</f>
        <v>105360</v>
      </c>
      <c r="E24" s="19">
        <f>SUMPRODUCT(('Daily Data'!$A$4:$A$734&gt;=DATE(2025,9,1))*('Daily Data'!$A$4:$A$734&lt;DATE(2025,10,1))*'Daily Data'!$O$4:$O$734)</f>
        <v>39127</v>
      </c>
      <c r="F24" s="19">
        <f t="shared" si="0"/>
        <v>66233</v>
      </c>
      <c r="G24" s="20">
        <f t="shared" si="1"/>
        <v>0.62863515565679573</v>
      </c>
      <c r="H24" s="20">
        <f t="shared" si="2"/>
        <v>1.361296839674828E-2</v>
      </c>
      <c r="I24" t="str">
        <f t="shared" si="3"/>
        <v>▲ Increase</v>
      </c>
      <c r="J24" s="20">
        <f t="shared" si="4"/>
        <v>-5.0251256281407036E-3</v>
      </c>
      <c r="K24" t="s">
        <v>84</v>
      </c>
    </row>
    <row r="25" spans="1:11" x14ac:dyDescent="0.35">
      <c r="A25" t="s">
        <v>88</v>
      </c>
      <c r="B25">
        <v>2025</v>
      </c>
      <c r="C25">
        <f>SUMPRODUCT(('Daily Data'!$A$4:$A$734&gt;=DATE(2025,10,1))*('Daily Data'!$A$4:$A$734&lt;DATE(2025,11,1))*'Daily Data'!$D$4:$D$734)</f>
        <v>234</v>
      </c>
      <c r="D25" s="19">
        <f>SUMPRODUCT(('Daily Data'!$A$4:$A$734&gt;=DATE(2025,10,1))*('Daily Data'!$A$4:$A$734&lt;DATE(2025,11,1))*'Daily Data'!$G$4:$G$734)</f>
        <v>123061</v>
      </c>
      <c r="E25" s="19">
        <f>SUMPRODUCT(('Daily Data'!$A$4:$A$734&gt;=DATE(2025,10,1))*('Daily Data'!$A$4:$A$734&lt;DATE(2025,11,1))*'Daily Data'!$O$4:$O$734)</f>
        <v>39897</v>
      </c>
      <c r="F25" s="19">
        <f t="shared" si="0"/>
        <v>83164</v>
      </c>
      <c r="G25" s="20">
        <f t="shared" si="1"/>
        <v>0.67579493096919419</v>
      </c>
      <c r="H25" s="20">
        <f t="shared" si="2"/>
        <v>0.16800493545937736</v>
      </c>
      <c r="I25" t="str">
        <f t="shared" si="3"/>
        <v>▲ Increase</v>
      </c>
      <c r="J25" s="20">
        <f t="shared" si="4"/>
        <v>0.18181818181818182</v>
      </c>
      <c r="K25" t="s">
        <v>63</v>
      </c>
    </row>
    <row r="26" spans="1:11" x14ac:dyDescent="0.35">
      <c r="A26" t="s">
        <v>89</v>
      </c>
      <c r="B26">
        <v>2025</v>
      </c>
      <c r="C26">
        <f>SUMPRODUCT(('Daily Data'!$A$4:$A$734&gt;=DATE(2025,11,1))*('Daily Data'!$A$4:$A$734&lt;DATE(2025,12,1))*'Daily Data'!$D$4:$D$734)</f>
        <v>242</v>
      </c>
      <c r="D26" s="19">
        <f>SUMPRODUCT(('Daily Data'!$A$4:$A$734&gt;=DATE(2025,11,1))*('Daily Data'!$A$4:$A$734&lt;DATE(2025,12,1))*'Daily Data'!$G$4:$G$734)</f>
        <v>127832</v>
      </c>
      <c r="E26" s="19">
        <f>SUMPRODUCT(('Daily Data'!$A$4:$A$734&gt;=DATE(2025,11,1))*('Daily Data'!$A$4:$A$734&lt;DATE(2025,12,1))*'Daily Data'!$O$4:$O$734)</f>
        <v>40276</v>
      </c>
      <c r="F26" s="19">
        <f t="shared" si="0"/>
        <v>87556</v>
      </c>
      <c r="G26" s="20">
        <f t="shared" si="1"/>
        <v>0.68493022091495093</v>
      </c>
      <c r="H26" s="20">
        <f t="shared" si="2"/>
        <v>3.8769390789933446E-2</v>
      </c>
      <c r="I26" t="str">
        <f t="shared" si="3"/>
        <v>▲ Increase</v>
      </c>
      <c r="J26" s="20">
        <f t="shared" si="4"/>
        <v>3.4188034188034191E-2</v>
      </c>
      <c r="K26" t="s">
        <v>63</v>
      </c>
    </row>
    <row r="27" spans="1:11" x14ac:dyDescent="0.35">
      <c r="A27" t="s">
        <v>90</v>
      </c>
      <c r="B27">
        <v>2025</v>
      </c>
      <c r="C27">
        <f>SUMPRODUCT(('Daily Data'!$A$4:$A$734&gt;=DATE(2025,12,1))*('Daily Data'!$A$4:$A$734&lt;DATE(2026,1,1))*'Daily Data'!$D$4:$D$734)</f>
        <v>518</v>
      </c>
      <c r="D27" s="19">
        <f>SUMPRODUCT(('Daily Data'!$A$4:$A$734&gt;=DATE(2025,12,1))*('Daily Data'!$A$4:$A$734&lt;DATE(2026,1,1))*'Daily Data'!$G$4:$G$734)</f>
        <v>275623</v>
      </c>
      <c r="E27" s="19">
        <f>SUMPRODUCT(('Daily Data'!$A$4:$A$734&gt;=DATE(2025,12,1))*('Daily Data'!$A$4:$A$734&lt;DATE(2026,1,1))*'Daily Data'!$O$4:$O$734)</f>
        <v>47752</v>
      </c>
      <c r="F27" s="19">
        <f t="shared" si="0"/>
        <v>227871</v>
      </c>
      <c r="G27" s="20">
        <f t="shared" si="1"/>
        <v>0.82674885622752814</v>
      </c>
      <c r="H27" s="20">
        <f t="shared" si="2"/>
        <v>1.1561346141811126</v>
      </c>
      <c r="I27" t="str">
        <f t="shared" si="3"/>
        <v>▲ Increase</v>
      </c>
      <c r="J27" s="20">
        <f t="shared" si="4"/>
        <v>1.140495867768595</v>
      </c>
      <c r="K27" t="s">
        <v>80</v>
      </c>
    </row>
    <row r="28" spans="1:11" x14ac:dyDescent="0.35">
      <c r="A28" s="21" t="s">
        <v>91</v>
      </c>
      <c r="B28" s="22"/>
      <c r="C28" s="21">
        <f>SUM(C4:C27)</f>
        <v>5751</v>
      </c>
      <c r="D28" s="23">
        <f>SUM(D4:D27)</f>
        <v>3053476</v>
      </c>
      <c r="E28" s="23">
        <f>SUM(E4:E27)</f>
        <v>967932</v>
      </c>
      <c r="F28" s="23">
        <f>SUM(F4:F27)</f>
        <v>2085544</v>
      </c>
      <c r="G28" s="24">
        <f>F28/D28</f>
        <v>0.68300651454277028</v>
      </c>
      <c r="H28" s="22"/>
      <c r="I28" s="22"/>
      <c r="J28" s="22"/>
      <c r="K28" s="22"/>
    </row>
  </sheetData>
  <mergeCells count="2">
    <mergeCell ref="A1:K1"/>
    <mergeCell ref="A2:K2"/>
  </mergeCells>
  <conditionalFormatting sqref="F4:F27">
    <cfRule type="cellIs" dxfId="36" priority="8" operator="lessThan">
      <formula>0</formula>
    </cfRule>
  </conditionalFormatting>
  <conditionalFormatting sqref="H5:H27">
    <cfRule type="cellIs" dxfId="35" priority="2" operator="greaterThanOrEqual">
      <formula>0</formula>
    </cfRule>
    <cfRule type="cellIs" dxfId="34" priority="3" operator="lessThan">
      <formula>0</formula>
    </cfRule>
  </conditionalFormatting>
  <conditionalFormatting sqref="I5:I27">
    <cfRule type="expression" dxfId="33" priority="4">
      <formula>LEFT(I5,1)="▲"</formula>
    </cfRule>
    <cfRule type="expression" dxfId="32" priority="5">
      <formula>LEFT(I5,1)="▼"</formula>
    </cfRule>
  </conditionalFormatting>
  <conditionalFormatting sqref="K4:K27">
    <cfRule type="cellIs" dxfId="31" priority="6" operator="equal">
      <formula>"Peak"</formula>
    </cfRule>
    <cfRule type="cellIs" dxfId="30" priority="7" operator="equal">
      <formula>"Low"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8"/>
  <sheetViews>
    <sheetView zoomScaleNormal="100" workbookViewId="0">
      <pane ySplit="3" topLeftCell="A4" activePane="bottomLeft" state="frozen"/>
      <selection pane="bottomLeft" activeCell="K4" sqref="K4"/>
    </sheetView>
  </sheetViews>
  <sheetFormatPr defaultColWidth="8.6328125" defaultRowHeight="14.5" x14ac:dyDescent="0.35"/>
  <cols>
    <col min="1" max="1" width="7.08984375" bestFit="1" customWidth="1"/>
    <col min="2" max="3" width="11.81640625" bestFit="1" customWidth="1"/>
    <col min="4" max="4" width="8.6328125" bestFit="1" customWidth="1"/>
    <col min="5" max="5" width="11.26953125" bestFit="1" customWidth="1"/>
    <col min="6" max="6" width="13.54296875" bestFit="1" customWidth="1"/>
    <col min="7" max="7" width="15.54296875" bestFit="1" customWidth="1"/>
    <col min="8" max="8" width="11.1796875" bestFit="1" customWidth="1"/>
    <col min="9" max="9" width="7" bestFit="1" customWidth="1"/>
  </cols>
  <sheetData>
    <row r="1" spans="1:9" ht="18" x14ac:dyDescent="0.35">
      <c r="A1" s="3" t="s">
        <v>92</v>
      </c>
      <c r="B1" s="3"/>
      <c r="C1" s="3"/>
      <c r="D1" s="3"/>
      <c r="E1" s="3"/>
      <c r="F1" s="3"/>
      <c r="G1" s="3"/>
      <c r="H1" s="3"/>
      <c r="I1" s="3"/>
    </row>
    <row r="2" spans="1:9" x14ac:dyDescent="0.35">
      <c r="A2" s="1" t="s">
        <v>93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13" t="s">
        <v>94</v>
      </c>
      <c r="B3" s="13" t="s">
        <v>95</v>
      </c>
      <c r="C3" s="13" t="s">
        <v>96</v>
      </c>
      <c r="D3" s="13" t="s">
        <v>38</v>
      </c>
      <c r="E3" s="13" t="s">
        <v>41</v>
      </c>
      <c r="F3" s="13" t="s">
        <v>50</v>
      </c>
      <c r="G3" s="13" t="s">
        <v>97</v>
      </c>
      <c r="H3" s="13" t="s">
        <v>98</v>
      </c>
      <c r="I3" s="13" t="s">
        <v>99</v>
      </c>
    </row>
    <row r="4" spans="1:9" x14ac:dyDescent="0.35">
      <c r="A4">
        <v>1</v>
      </c>
      <c r="B4" s="18">
        <v>45292</v>
      </c>
      <c r="C4" s="18">
        <v>45298</v>
      </c>
      <c r="D4">
        <f>SUMPRODUCT(('Daily Data'!$A$4:$A$734&gt;=B4)*('Daily Data'!$A$4:$A$734&lt;=C4)*'Daily Data'!$D$4:$D$734)</f>
        <v>38</v>
      </c>
      <c r="E4" s="19">
        <f>SUMPRODUCT(('Daily Data'!$A$4:$A$734&gt;=B4)*('Daily Data'!$A$4:$A$734&lt;=C4)*'Daily Data'!$G$4:$G$734)</f>
        <v>19707</v>
      </c>
      <c r="F4" s="19">
        <f>SUMPRODUCT(('Daily Data'!$A$4:$A$734&gt;=B4)*('Daily Data'!$A$4:$A$734&lt;=C4)*'Daily Data'!$P$4:$P$734)</f>
        <v>11017</v>
      </c>
      <c r="G4" t="s">
        <v>76</v>
      </c>
      <c r="H4" t="s">
        <v>77</v>
      </c>
      <c r="I4" t="s">
        <v>63</v>
      </c>
    </row>
    <row r="5" spans="1:9" x14ac:dyDescent="0.35">
      <c r="A5">
        <v>2</v>
      </c>
      <c r="B5" s="18">
        <v>45299</v>
      </c>
      <c r="C5" s="18">
        <v>45305</v>
      </c>
      <c r="D5">
        <f>SUMPRODUCT(('Daily Data'!$A$4:$A$734&gt;=B5)*('Daily Data'!$A$4:$A$734&lt;=C5)*'Daily Data'!$D$4:$D$734)</f>
        <v>42</v>
      </c>
      <c r="E5" s="19">
        <f>SUMPRODUCT(('Daily Data'!$A$4:$A$734&gt;=B5)*('Daily Data'!$A$4:$A$734&lt;=C5)*'Daily Data'!$G$4:$G$734)</f>
        <v>22717</v>
      </c>
      <c r="F5" s="19">
        <f>SUMPRODUCT(('Daily Data'!$A$4:$A$734&gt;=B5)*('Daily Data'!$A$4:$A$734&lt;=C5)*'Daily Data'!$P$4:$P$734)</f>
        <v>13929</v>
      </c>
      <c r="G5" s="20">
        <f t="shared" ref="G5:G36" si="0">IF(E4=0,0,(E5-E4)/E4)</f>
        <v>0.15273760592682803</v>
      </c>
      <c r="H5" t="str">
        <f t="shared" ref="H5:H36" si="1">IF(E5&gt;=E4,"▲ Increase","▼ Decrease")</f>
        <v>▲ Increase</v>
      </c>
      <c r="I5" t="s">
        <v>63</v>
      </c>
    </row>
    <row r="6" spans="1:9" x14ac:dyDescent="0.35">
      <c r="A6">
        <v>3</v>
      </c>
      <c r="B6" s="18">
        <v>45306</v>
      </c>
      <c r="C6" s="18">
        <v>45312</v>
      </c>
      <c r="D6">
        <f>SUMPRODUCT(('Daily Data'!$A$4:$A$734&gt;=B6)*('Daily Data'!$A$4:$A$734&lt;=C6)*'Daily Data'!$D$4:$D$734)</f>
        <v>44</v>
      </c>
      <c r="E6" s="19">
        <f>SUMPRODUCT(('Daily Data'!$A$4:$A$734&gt;=B6)*('Daily Data'!$A$4:$A$734&lt;=C6)*'Daily Data'!$G$4:$G$734)</f>
        <v>23329</v>
      </c>
      <c r="F6" s="19">
        <f>SUMPRODUCT(('Daily Data'!$A$4:$A$734&gt;=B6)*('Daily Data'!$A$4:$A$734&lt;=C6)*'Daily Data'!$P$4:$P$734)</f>
        <v>14511</v>
      </c>
      <c r="G6" s="20">
        <f t="shared" si="0"/>
        <v>2.6940176959985913E-2</v>
      </c>
      <c r="H6" t="str">
        <f t="shared" si="1"/>
        <v>▲ Increase</v>
      </c>
      <c r="I6" t="s">
        <v>63</v>
      </c>
    </row>
    <row r="7" spans="1:9" x14ac:dyDescent="0.35">
      <c r="A7">
        <v>4</v>
      </c>
      <c r="B7" s="18">
        <v>45313</v>
      </c>
      <c r="C7" s="18">
        <v>45319</v>
      </c>
      <c r="D7">
        <f>SUMPRODUCT(('Daily Data'!$A$4:$A$734&gt;=B7)*('Daily Data'!$A$4:$A$734&lt;=C7)*'Daily Data'!$D$4:$D$734)</f>
        <v>40</v>
      </c>
      <c r="E7" s="19">
        <f>SUMPRODUCT(('Daily Data'!$A$4:$A$734&gt;=B7)*('Daily Data'!$A$4:$A$734&lt;=C7)*'Daily Data'!$G$4:$G$734)</f>
        <v>22025</v>
      </c>
      <c r="F7" s="19">
        <f>SUMPRODUCT(('Daily Data'!$A$4:$A$734&gt;=B7)*('Daily Data'!$A$4:$A$734&lt;=C7)*'Daily Data'!$P$4:$P$734)</f>
        <v>13270</v>
      </c>
      <c r="G7" s="20">
        <f t="shared" si="0"/>
        <v>-5.5896094989069396E-2</v>
      </c>
      <c r="H7" t="str">
        <f t="shared" si="1"/>
        <v>▼ Decrease</v>
      </c>
      <c r="I7" t="s">
        <v>63</v>
      </c>
    </row>
    <row r="8" spans="1:9" x14ac:dyDescent="0.35">
      <c r="A8">
        <v>5</v>
      </c>
      <c r="B8" s="18">
        <v>45320</v>
      </c>
      <c r="C8" s="18">
        <v>45326</v>
      </c>
      <c r="D8">
        <f>SUMPRODUCT(('Daily Data'!$A$4:$A$734&gt;=B8)*('Daily Data'!$A$4:$A$734&lt;=C8)*'Daily Data'!$D$4:$D$734)</f>
        <v>48</v>
      </c>
      <c r="E8" s="19">
        <f>SUMPRODUCT(('Daily Data'!$A$4:$A$734&gt;=B8)*('Daily Data'!$A$4:$A$734&lt;=C8)*'Daily Data'!$G$4:$G$734)</f>
        <v>25923</v>
      </c>
      <c r="F8" s="19">
        <f>SUMPRODUCT(('Daily Data'!$A$4:$A$734&gt;=B8)*('Daily Data'!$A$4:$A$734&lt;=C8)*'Daily Data'!$P$4:$P$734)</f>
        <v>16690</v>
      </c>
      <c r="G8" s="20">
        <f t="shared" si="0"/>
        <v>0.17698070374574348</v>
      </c>
      <c r="H8" t="str">
        <f t="shared" si="1"/>
        <v>▲ Increase</v>
      </c>
      <c r="I8" t="s">
        <v>63</v>
      </c>
    </row>
    <row r="9" spans="1:9" x14ac:dyDescent="0.35">
      <c r="A9">
        <v>6</v>
      </c>
      <c r="B9" s="18">
        <v>45327</v>
      </c>
      <c r="C9" s="18">
        <v>45333</v>
      </c>
      <c r="D9">
        <f>SUMPRODUCT(('Daily Data'!$A$4:$A$734&gt;=B9)*('Daily Data'!$A$4:$A$734&lt;=C9)*'Daily Data'!$D$4:$D$734)</f>
        <v>52</v>
      </c>
      <c r="E9" s="19">
        <f>SUMPRODUCT(('Daily Data'!$A$4:$A$734&gt;=B9)*('Daily Data'!$A$4:$A$734&lt;=C9)*'Daily Data'!$G$4:$G$734)</f>
        <v>27552</v>
      </c>
      <c r="F9" s="19">
        <f>SUMPRODUCT(('Daily Data'!$A$4:$A$734&gt;=B9)*('Daily Data'!$A$4:$A$734&lt;=C9)*'Daily Data'!$P$4:$P$734)</f>
        <v>18002</v>
      </c>
      <c r="G9" s="20">
        <f t="shared" si="0"/>
        <v>6.2839949079967594E-2</v>
      </c>
      <c r="H9" t="str">
        <f t="shared" si="1"/>
        <v>▲ Increase</v>
      </c>
      <c r="I9" t="s">
        <v>63</v>
      </c>
    </row>
    <row r="10" spans="1:9" x14ac:dyDescent="0.35">
      <c r="A10">
        <v>7</v>
      </c>
      <c r="B10" s="18">
        <v>45334</v>
      </c>
      <c r="C10" s="18">
        <v>45340</v>
      </c>
      <c r="D10">
        <f>SUMPRODUCT(('Daily Data'!$A$4:$A$734&gt;=B10)*('Daily Data'!$A$4:$A$734&lt;=C10)*'Daily Data'!$D$4:$D$734)</f>
        <v>54</v>
      </c>
      <c r="E10" s="19">
        <f>SUMPRODUCT(('Daily Data'!$A$4:$A$734&gt;=B10)*('Daily Data'!$A$4:$A$734&lt;=C10)*'Daily Data'!$G$4:$G$734)</f>
        <v>28792</v>
      </c>
      <c r="F10" s="19">
        <f>SUMPRODUCT(('Daily Data'!$A$4:$A$734&gt;=B10)*('Daily Data'!$A$4:$A$734&lt;=C10)*'Daily Data'!$P$4:$P$734)</f>
        <v>19200</v>
      </c>
      <c r="G10" s="20">
        <f t="shared" si="0"/>
        <v>4.500580720092915E-2</v>
      </c>
      <c r="H10" t="str">
        <f t="shared" si="1"/>
        <v>▲ Increase</v>
      </c>
      <c r="I10" t="s">
        <v>63</v>
      </c>
    </row>
    <row r="11" spans="1:9" x14ac:dyDescent="0.35">
      <c r="A11">
        <v>8</v>
      </c>
      <c r="B11" s="18">
        <v>45341</v>
      </c>
      <c r="C11" s="18">
        <v>45347</v>
      </c>
      <c r="D11">
        <f>SUMPRODUCT(('Daily Data'!$A$4:$A$734&gt;=B11)*('Daily Data'!$A$4:$A$734&lt;=C11)*'Daily Data'!$D$4:$D$734)</f>
        <v>51</v>
      </c>
      <c r="E11" s="19">
        <f>SUMPRODUCT(('Daily Data'!$A$4:$A$734&gt;=B11)*('Daily Data'!$A$4:$A$734&lt;=C11)*'Daily Data'!$G$4:$G$734)</f>
        <v>27738</v>
      </c>
      <c r="F11" s="19">
        <f>SUMPRODUCT(('Daily Data'!$A$4:$A$734&gt;=B11)*('Daily Data'!$A$4:$A$734&lt;=C11)*'Daily Data'!$P$4:$P$734)</f>
        <v>18191</v>
      </c>
      <c r="G11" s="20">
        <f t="shared" si="0"/>
        <v>-3.6607390941928317E-2</v>
      </c>
      <c r="H11" t="str">
        <f t="shared" si="1"/>
        <v>▼ Decrease</v>
      </c>
      <c r="I11" t="s">
        <v>63</v>
      </c>
    </row>
    <row r="12" spans="1:9" x14ac:dyDescent="0.35">
      <c r="A12">
        <v>9</v>
      </c>
      <c r="B12" s="18">
        <v>45348</v>
      </c>
      <c r="C12" s="18">
        <v>45354</v>
      </c>
      <c r="D12">
        <f>SUMPRODUCT(('Daily Data'!$A$4:$A$734&gt;=B12)*('Daily Data'!$A$4:$A$734&lt;=C12)*'Daily Data'!$D$4:$D$734)</f>
        <v>55</v>
      </c>
      <c r="E12" s="19">
        <f>SUMPRODUCT(('Daily Data'!$A$4:$A$734&gt;=B12)*('Daily Data'!$A$4:$A$734&lt;=C12)*'Daily Data'!$G$4:$G$734)</f>
        <v>29323</v>
      </c>
      <c r="F12" s="19">
        <f>SUMPRODUCT(('Daily Data'!$A$4:$A$734&gt;=B12)*('Daily Data'!$A$4:$A$734&lt;=C12)*'Daily Data'!$P$4:$P$734)</f>
        <v>19928</v>
      </c>
      <c r="G12" s="20">
        <f t="shared" si="0"/>
        <v>5.7141827096402045E-2</v>
      </c>
      <c r="H12" t="str">
        <f t="shared" si="1"/>
        <v>▲ Increase</v>
      </c>
      <c r="I12" t="s">
        <v>63</v>
      </c>
    </row>
    <row r="13" spans="1:9" x14ac:dyDescent="0.35">
      <c r="A13">
        <v>10</v>
      </c>
      <c r="B13" s="18">
        <v>45355</v>
      </c>
      <c r="C13" s="18">
        <v>45361</v>
      </c>
      <c r="D13">
        <f>SUMPRODUCT(('Daily Data'!$A$4:$A$734&gt;=B13)*('Daily Data'!$A$4:$A$734&lt;=C13)*'Daily Data'!$D$4:$D$734)</f>
        <v>54</v>
      </c>
      <c r="E13" s="19">
        <f>SUMPRODUCT(('Daily Data'!$A$4:$A$734&gt;=B13)*('Daily Data'!$A$4:$A$734&lt;=C13)*'Daily Data'!$G$4:$G$734)</f>
        <v>29280</v>
      </c>
      <c r="F13" s="19">
        <f>SUMPRODUCT(('Daily Data'!$A$4:$A$734&gt;=B13)*('Daily Data'!$A$4:$A$734&lt;=C13)*'Daily Data'!$P$4:$P$734)</f>
        <v>20180</v>
      </c>
      <c r="G13" s="20">
        <f t="shared" si="0"/>
        <v>-1.4664256726801487E-3</v>
      </c>
      <c r="H13" t="str">
        <f t="shared" si="1"/>
        <v>▼ Decrease</v>
      </c>
      <c r="I13" t="s">
        <v>80</v>
      </c>
    </row>
    <row r="14" spans="1:9" x14ac:dyDescent="0.35">
      <c r="A14">
        <v>11</v>
      </c>
      <c r="B14" s="18">
        <v>45362</v>
      </c>
      <c r="C14" s="18">
        <v>45368</v>
      </c>
      <c r="D14">
        <f>SUMPRODUCT(('Daily Data'!$A$4:$A$734&gt;=B14)*('Daily Data'!$A$4:$A$734&lt;=C14)*'Daily Data'!$D$4:$D$734)</f>
        <v>56</v>
      </c>
      <c r="E14" s="19">
        <f>SUMPRODUCT(('Daily Data'!$A$4:$A$734&gt;=B14)*('Daily Data'!$A$4:$A$734&lt;=C14)*'Daily Data'!$G$4:$G$734)</f>
        <v>29924</v>
      </c>
      <c r="F14" s="19">
        <f>SUMPRODUCT(('Daily Data'!$A$4:$A$734&gt;=B14)*('Daily Data'!$A$4:$A$734&lt;=C14)*'Daily Data'!$P$4:$P$734)</f>
        <v>20793</v>
      </c>
      <c r="G14" s="20">
        <f t="shared" si="0"/>
        <v>2.1994535519125682E-2</v>
      </c>
      <c r="H14" t="str">
        <f t="shared" si="1"/>
        <v>▲ Increase</v>
      </c>
      <c r="I14" t="s">
        <v>80</v>
      </c>
    </row>
    <row r="15" spans="1:9" x14ac:dyDescent="0.35">
      <c r="A15">
        <v>12</v>
      </c>
      <c r="B15" s="18">
        <v>45369</v>
      </c>
      <c r="C15" s="18">
        <v>45375</v>
      </c>
      <c r="D15">
        <f>SUMPRODUCT(('Daily Data'!$A$4:$A$734&gt;=B15)*('Daily Data'!$A$4:$A$734&lt;=C15)*'Daily Data'!$D$4:$D$734)</f>
        <v>54</v>
      </c>
      <c r="E15" s="19">
        <f>SUMPRODUCT(('Daily Data'!$A$4:$A$734&gt;=B15)*('Daily Data'!$A$4:$A$734&lt;=C15)*'Daily Data'!$G$4:$G$734)</f>
        <v>29081</v>
      </c>
      <c r="F15" s="19">
        <f>SUMPRODUCT(('Daily Data'!$A$4:$A$734&gt;=B15)*('Daily Data'!$A$4:$A$734&lt;=C15)*'Daily Data'!$P$4:$P$734)</f>
        <v>19986</v>
      </c>
      <c r="G15" s="20">
        <f t="shared" si="0"/>
        <v>-2.8171367464242748E-2</v>
      </c>
      <c r="H15" t="str">
        <f t="shared" si="1"/>
        <v>▼ Decrease</v>
      </c>
      <c r="I15" t="s">
        <v>80</v>
      </c>
    </row>
    <row r="16" spans="1:9" x14ac:dyDescent="0.35">
      <c r="A16">
        <v>13</v>
      </c>
      <c r="B16" s="18">
        <v>45376</v>
      </c>
      <c r="C16" s="18">
        <v>45382</v>
      </c>
      <c r="D16">
        <f>SUMPRODUCT(('Daily Data'!$A$4:$A$734&gt;=B16)*('Daily Data'!$A$4:$A$734&lt;=C16)*'Daily Data'!$D$4:$D$734)</f>
        <v>56</v>
      </c>
      <c r="E16" s="19">
        <f>SUMPRODUCT(('Daily Data'!$A$4:$A$734&gt;=B16)*('Daily Data'!$A$4:$A$734&lt;=C16)*'Daily Data'!$G$4:$G$734)</f>
        <v>29547</v>
      </c>
      <c r="F16" s="19">
        <f>SUMPRODUCT(('Daily Data'!$A$4:$A$734&gt;=B16)*('Daily Data'!$A$4:$A$734&lt;=C16)*'Daily Data'!$P$4:$P$734)</f>
        <v>20424</v>
      </c>
      <c r="G16" s="20">
        <f t="shared" si="0"/>
        <v>1.6024208245933771E-2</v>
      </c>
      <c r="H16" t="str">
        <f t="shared" si="1"/>
        <v>▲ Increase</v>
      </c>
      <c r="I16" t="s">
        <v>80</v>
      </c>
    </row>
    <row r="17" spans="1:9" x14ac:dyDescent="0.35">
      <c r="A17">
        <v>14</v>
      </c>
      <c r="B17" s="18">
        <v>45383</v>
      </c>
      <c r="C17" s="18">
        <v>45389</v>
      </c>
      <c r="D17">
        <f>SUMPRODUCT(('Daily Data'!$A$4:$A$734&gt;=B17)*('Daily Data'!$A$4:$A$734&lt;=C17)*'Daily Data'!$D$4:$D$734)</f>
        <v>53</v>
      </c>
      <c r="E17" s="19">
        <f>SUMPRODUCT(('Daily Data'!$A$4:$A$734&gt;=B17)*('Daily Data'!$A$4:$A$734&lt;=C17)*'Daily Data'!$G$4:$G$734)</f>
        <v>28417</v>
      </c>
      <c r="F17" s="19">
        <f>SUMPRODUCT(('Daily Data'!$A$4:$A$734&gt;=B17)*('Daily Data'!$A$4:$A$734&lt;=C17)*'Daily Data'!$P$4:$P$734)</f>
        <v>19008</v>
      </c>
      <c r="G17" s="20">
        <f t="shared" si="0"/>
        <v>-3.8244153382746136E-2</v>
      </c>
      <c r="H17" t="str">
        <f t="shared" si="1"/>
        <v>▼ Decrease</v>
      </c>
      <c r="I17" t="s">
        <v>80</v>
      </c>
    </row>
    <row r="18" spans="1:9" x14ac:dyDescent="0.35">
      <c r="A18">
        <v>15</v>
      </c>
      <c r="B18" s="18">
        <v>45390</v>
      </c>
      <c r="C18" s="18">
        <v>45396</v>
      </c>
      <c r="D18">
        <f>SUMPRODUCT(('Daily Data'!$A$4:$A$734&gt;=B18)*('Daily Data'!$A$4:$A$734&lt;=C18)*'Daily Data'!$D$4:$D$734)</f>
        <v>62</v>
      </c>
      <c r="E18" s="19">
        <f>SUMPRODUCT(('Daily Data'!$A$4:$A$734&gt;=B18)*('Daily Data'!$A$4:$A$734&lt;=C18)*'Daily Data'!$G$4:$G$734)</f>
        <v>32209</v>
      </c>
      <c r="F18" s="19">
        <f>SUMPRODUCT(('Daily Data'!$A$4:$A$734&gt;=B18)*('Daily Data'!$A$4:$A$734&lt;=C18)*'Daily Data'!$P$4:$P$734)</f>
        <v>22644</v>
      </c>
      <c r="G18" s="20">
        <f t="shared" si="0"/>
        <v>0.13344124995601225</v>
      </c>
      <c r="H18" t="str">
        <f t="shared" si="1"/>
        <v>▲ Increase</v>
      </c>
      <c r="I18" t="s">
        <v>80</v>
      </c>
    </row>
    <row r="19" spans="1:9" x14ac:dyDescent="0.35">
      <c r="A19">
        <v>16</v>
      </c>
      <c r="B19" s="18">
        <v>45397</v>
      </c>
      <c r="C19" s="18">
        <v>45403</v>
      </c>
      <c r="D19">
        <f>SUMPRODUCT(('Daily Data'!$A$4:$A$734&gt;=B19)*('Daily Data'!$A$4:$A$734&lt;=C19)*'Daily Data'!$D$4:$D$734)</f>
        <v>59</v>
      </c>
      <c r="E19" s="19">
        <f>SUMPRODUCT(('Daily Data'!$A$4:$A$734&gt;=B19)*('Daily Data'!$A$4:$A$734&lt;=C19)*'Daily Data'!$G$4:$G$734)</f>
        <v>31723</v>
      </c>
      <c r="F19" s="19">
        <f>SUMPRODUCT(('Daily Data'!$A$4:$A$734&gt;=B19)*('Daily Data'!$A$4:$A$734&lt;=C19)*'Daily Data'!$P$4:$P$734)</f>
        <v>22194</v>
      </c>
      <c r="G19" s="20">
        <f t="shared" si="0"/>
        <v>-1.5088950293396255E-2</v>
      </c>
      <c r="H19" t="str">
        <f t="shared" si="1"/>
        <v>▼ Decrease</v>
      </c>
      <c r="I19" t="s">
        <v>80</v>
      </c>
    </row>
    <row r="20" spans="1:9" x14ac:dyDescent="0.35">
      <c r="A20">
        <v>17</v>
      </c>
      <c r="B20" s="18">
        <v>45404</v>
      </c>
      <c r="C20" s="18">
        <v>45410</v>
      </c>
      <c r="D20">
        <f>SUMPRODUCT(('Daily Data'!$A$4:$A$734&gt;=B20)*('Daily Data'!$A$4:$A$734&lt;=C20)*'Daily Data'!$D$4:$D$734)</f>
        <v>52</v>
      </c>
      <c r="E20" s="19">
        <f>SUMPRODUCT(('Daily Data'!$A$4:$A$734&gt;=B20)*('Daily Data'!$A$4:$A$734&lt;=C20)*'Daily Data'!$G$4:$G$734)</f>
        <v>27825</v>
      </c>
      <c r="F20" s="19">
        <f>SUMPRODUCT(('Daily Data'!$A$4:$A$734&gt;=B20)*('Daily Data'!$A$4:$A$734&lt;=C20)*'Daily Data'!$P$4:$P$734)</f>
        <v>18438</v>
      </c>
      <c r="G20" s="20">
        <f t="shared" si="0"/>
        <v>-0.1228761466443905</v>
      </c>
      <c r="H20" t="str">
        <f t="shared" si="1"/>
        <v>▼ Decrease</v>
      </c>
      <c r="I20" t="s">
        <v>80</v>
      </c>
    </row>
    <row r="21" spans="1:9" x14ac:dyDescent="0.35">
      <c r="A21">
        <v>18</v>
      </c>
      <c r="B21" s="18">
        <v>45411</v>
      </c>
      <c r="C21" s="18">
        <v>45417</v>
      </c>
      <c r="D21">
        <f>SUMPRODUCT(('Daily Data'!$A$4:$A$734&gt;=B21)*('Daily Data'!$A$4:$A$734&lt;=C21)*'Daily Data'!$D$4:$D$734)</f>
        <v>58</v>
      </c>
      <c r="E21" s="19">
        <f>SUMPRODUCT(('Daily Data'!$A$4:$A$734&gt;=B21)*('Daily Data'!$A$4:$A$734&lt;=C21)*'Daily Data'!$G$4:$G$734)</f>
        <v>30558</v>
      </c>
      <c r="F21" s="19">
        <f>SUMPRODUCT(('Daily Data'!$A$4:$A$734&gt;=B21)*('Daily Data'!$A$4:$A$734&lt;=C21)*'Daily Data'!$P$4:$P$734)</f>
        <v>21241</v>
      </c>
      <c r="G21" s="20">
        <f t="shared" si="0"/>
        <v>9.8221024258760115E-2</v>
      </c>
      <c r="H21" t="str">
        <f t="shared" si="1"/>
        <v>▲ Increase</v>
      </c>
      <c r="I21" t="s">
        <v>80</v>
      </c>
    </row>
    <row r="22" spans="1:9" x14ac:dyDescent="0.35">
      <c r="A22">
        <v>19</v>
      </c>
      <c r="B22" s="18">
        <v>45418</v>
      </c>
      <c r="C22" s="18">
        <v>45424</v>
      </c>
      <c r="D22">
        <f>SUMPRODUCT(('Daily Data'!$A$4:$A$734&gt;=B22)*('Daily Data'!$A$4:$A$734&lt;=C22)*'Daily Data'!$D$4:$D$734)</f>
        <v>69</v>
      </c>
      <c r="E22" s="19">
        <f>SUMPRODUCT(('Daily Data'!$A$4:$A$734&gt;=B22)*('Daily Data'!$A$4:$A$734&lt;=C22)*'Daily Data'!$G$4:$G$734)</f>
        <v>37202</v>
      </c>
      <c r="F22" s="19">
        <f>SUMPRODUCT(('Daily Data'!$A$4:$A$734&gt;=B22)*('Daily Data'!$A$4:$A$734&lt;=C22)*'Daily Data'!$P$4:$P$734)</f>
        <v>27723</v>
      </c>
      <c r="G22" s="20">
        <f t="shared" si="0"/>
        <v>0.21742260619150469</v>
      </c>
      <c r="H22" t="str">
        <f t="shared" si="1"/>
        <v>▲ Increase</v>
      </c>
      <c r="I22" t="s">
        <v>80</v>
      </c>
    </row>
    <row r="23" spans="1:9" x14ac:dyDescent="0.35">
      <c r="A23">
        <v>20</v>
      </c>
      <c r="B23" s="18">
        <v>45425</v>
      </c>
      <c r="C23" s="18">
        <v>45431</v>
      </c>
      <c r="D23">
        <f>SUMPRODUCT(('Daily Data'!$A$4:$A$734&gt;=B23)*('Daily Data'!$A$4:$A$734&lt;=C23)*'Daily Data'!$D$4:$D$734)</f>
        <v>62</v>
      </c>
      <c r="E23" s="19">
        <f>SUMPRODUCT(('Daily Data'!$A$4:$A$734&gt;=B23)*('Daily Data'!$A$4:$A$734&lt;=C23)*'Daily Data'!$G$4:$G$734)</f>
        <v>33388</v>
      </c>
      <c r="F23" s="19">
        <f>SUMPRODUCT(('Daily Data'!$A$4:$A$734&gt;=B23)*('Daily Data'!$A$4:$A$734&lt;=C23)*'Daily Data'!$P$4:$P$734)</f>
        <v>24051</v>
      </c>
      <c r="G23" s="20">
        <f t="shared" si="0"/>
        <v>-0.10252136981882694</v>
      </c>
      <c r="H23" t="str">
        <f t="shared" si="1"/>
        <v>▼ Decrease</v>
      </c>
      <c r="I23" t="s">
        <v>80</v>
      </c>
    </row>
    <row r="24" spans="1:9" x14ac:dyDescent="0.35">
      <c r="A24">
        <v>21</v>
      </c>
      <c r="B24" s="18">
        <v>45432</v>
      </c>
      <c r="C24" s="18">
        <v>45438</v>
      </c>
      <c r="D24">
        <f>SUMPRODUCT(('Daily Data'!$A$4:$A$734&gt;=B24)*('Daily Data'!$A$4:$A$734&lt;=C24)*'Daily Data'!$D$4:$D$734)</f>
        <v>59</v>
      </c>
      <c r="E24" s="19">
        <f>SUMPRODUCT(('Daily Data'!$A$4:$A$734&gt;=B24)*('Daily Data'!$A$4:$A$734&lt;=C24)*'Daily Data'!$G$4:$G$734)</f>
        <v>31022</v>
      </c>
      <c r="F24" s="19">
        <f>SUMPRODUCT(('Daily Data'!$A$4:$A$734&gt;=B24)*('Daily Data'!$A$4:$A$734&lt;=C24)*'Daily Data'!$P$4:$P$734)</f>
        <v>21761</v>
      </c>
      <c r="G24" s="20">
        <f t="shared" si="0"/>
        <v>-7.0863783395231819E-2</v>
      </c>
      <c r="H24" t="str">
        <f t="shared" si="1"/>
        <v>▼ Decrease</v>
      </c>
      <c r="I24" t="s">
        <v>80</v>
      </c>
    </row>
    <row r="25" spans="1:9" x14ac:dyDescent="0.35">
      <c r="A25">
        <v>22</v>
      </c>
      <c r="B25" s="18">
        <v>45439</v>
      </c>
      <c r="C25" s="18">
        <v>45445</v>
      </c>
      <c r="D25">
        <f>SUMPRODUCT(('Daily Data'!$A$4:$A$734&gt;=B25)*('Daily Data'!$A$4:$A$734&lt;=C25)*'Daily Data'!$D$4:$D$734)</f>
        <v>55</v>
      </c>
      <c r="E25" s="19">
        <f>SUMPRODUCT(('Daily Data'!$A$4:$A$734&gt;=B25)*('Daily Data'!$A$4:$A$734&lt;=C25)*'Daily Data'!$G$4:$G$734)</f>
        <v>28906</v>
      </c>
      <c r="F25" s="19">
        <f>SUMPRODUCT(('Daily Data'!$A$4:$A$734&gt;=B25)*('Daily Data'!$A$4:$A$734&lt;=C25)*'Daily Data'!$P$4:$P$734)</f>
        <v>19670</v>
      </c>
      <c r="G25" s="20">
        <f t="shared" si="0"/>
        <v>-6.8209657662304177E-2</v>
      </c>
      <c r="H25" t="str">
        <f t="shared" si="1"/>
        <v>▼ Decrease</v>
      </c>
      <c r="I25" t="s">
        <v>80</v>
      </c>
    </row>
    <row r="26" spans="1:9" x14ac:dyDescent="0.35">
      <c r="A26">
        <v>23</v>
      </c>
      <c r="B26" s="18">
        <v>45446</v>
      </c>
      <c r="C26" s="18">
        <v>45452</v>
      </c>
      <c r="D26">
        <f>SUMPRODUCT(('Daily Data'!$A$4:$A$734&gt;=B26)*('Daily Data'!$A$4:$A$734&lt;=C26)*'Daily Data'!$D$4:$D$734)</f>
        <v>45</v>
      </c>
      <c r="E26" s="19">
        <f>SUMPRODUCT(('Daily Data'!$A$4:$A$734&gt;=B26)*('Daily Data'!$A$4:$A$734&lt;=C26)*'Daily Data'!$G$4:$G$734)</f>
        <v>24373</v>
      </c>
      <c r="F26" s="19">
        <f>SUMPRODUCT(('Daily Data'!$A$4:$A$734&gt;=B26)*('Daily Data'!$A$4:$A$734&lt;=C26)*'Daily Data'!$P$4:$P$734)</f>
        <v>15188</v>
      </c>
      <c r="G26" s="20">
        <f t="shared" si="0"/>
        <v>-0.15681865356673355</v>
      </c>
      <c r="H26" t="str">
        <f t="shared" si="1"/>
        <v>▼ Decrease</v>
      </c>
      <c r="I26" t="s">
        <v>84</v>
      </c>
    </row>
    <row r="27" spans="1:9" x14ac:dyDescent="0.35">
      <c r="A27">
        <v>24</v>
      </c>
      <c r="B27" s="18">
        <v>45453</v>
      </c>
      <c r="C27" s="18">
        <v>45459</v>
      </c>
      <c r="D27">
        <f>SUMPRODUCT(('Daily Data'!$A$4:$A$734&gt;=B27)*('Daily Data'!$A$4:$A$734&lt;=C27)*'Daily Data'!$D$4:$D$734)</f>
        <v>47</v>
      </c>
      <c r="E27" s="19">
        <f>SUMPRODUCT(('Daily Data'!$A$4:$A$734&gt;=B27)*('Daily Data'!$A$4:$A$734&lt;=C27)*'Daily Data'!$G$4:$G$734)</f>
        <v>24850</v>
      </c>
      <c r="F27" s="19">
        <f>SUMPRODUCT(('Daily Data'!$A$4:$A$734&gt;=B27)*('Daily Data'!$A$4:$A$734&lt;=C27)*'Daily Data'!$P$4:$P$734)</f>
        <v>15638</v>
      </c>
      <c r="G27" s="20">
        <f t="shared" si="0"/>
        <v>1.9570836581463094E-2</v>
      </c>
      <c r="H27" t="str">
        <f t="shared" si="1"/>
        <v>▲ Increase</v>
      </c>
      <c r="I27" t="s">
        <v>84</v>
      </c>
    </row>
    <row r="28" spans="1:9" x14ac:dyDescent="0.35">
      <c r="A28">
        <v>25</v>
      </c>
      <c r="B28" s="18">
        <v>45460</v>
      </c>
      <c r="C28" s="18">
        <v>45466</v>
      </c>
      <c r="D28">
        <f>SUMPRODUCT(('Daily Data'!$A$4:$A$734&gt;=B28)*('Daily Data'!$A$4:$A$734&lt;=C28)*'Daily Data'!$D$4:$D$734)</f>
        <v>46</v>
      </c>
      <c r="E28" s="19">
        <f>SUMPRODUCT(('Daily Data'!$A$4:$A$734&gt;=B28)*('Daily Data'!$A$4:$A$734&lt;=C28)*'Daily Data'!$G$4:$G$734)</f>
        <v>24246</v>
      </c>
      <c r="F28" s="19">
        <f>SUMPRODUCT(('Daily Data'!$A$4:$A$734&gt;=B28)*('Daily Data'!$A$4:$A$734&lt;=C28)*'Daily Data'!$P$4:$P$734)</f>
        <v>15055</v>
      </c>
      <c r="G28" s="20">
        <f t="shared" si="0"/>
        <v>-2.4305835010060364E-2</v>
      </c>
      <c r="H28" t="str">
        <f t="shared" si="1"/>
        <v>▼ Decrease</v>
      </c>
      <c r="I28" t="s">
        <v>84</v>
      </c>
    </row>
    <row r="29" spans="1:9" x14ac:dyDescent="0.35">
      <c r="A29">
        <v>26</v>
      </c>
      <c r="B29" s="18">
        <v>45467</v>
      </c>
      <c r="C29" s="18">
        <v>45473</v>
      </c>
      <c r="D29">
        <f>SUMPRODUCT(('Daily Data'!$A$4:$A$734&gt;=B29)*('Daily Data'!$A$4:$A$734&lt;=C29)*'Daily Data'!$D$4:$D$734)</f>
        <v>48</v>
      </c>
      <c r="E29" s="19">
        <f>SUMPRODUCT(('Daily Data'!$A$4:$A$734&gt;=B29)*('Daily Data'!$A$4:$A$734&lt;=C29)*'Daily Data'!$G$4:$G$734)</f>
        <v>24684</v>
      </c>
      <c r="F29" s="19">
        <f>SUMPRODUCT(('Daily Data'!$A$4:$A$734&gt;=B29)*('Daily Data'!$A$4:$A$734&lt;=C29)*'Daily Data'!$P$4:$P$734)</f>
        <v>15468</v>
      </c>
      <c r="G29" s="20">
        <f t="shared" si="0"/>
        <v>1.8064835436773077E-2</v>
      </c>
      <c r="H29" t="str">
        <f t="shared" si="1"/>
        <v>▲ Increase</v>
      </c>
      <c r="I29" t="s">
        <v>84</v>
      </c>
    </row>
    <row r="30" spans="1:9" x14ac:dyDescent="0.35">
      <c r="A30">
        <v>27</v>
      </c>
      <c r="B30" s="18">
        <v>45474</v>
      </c>
      <c r="C30" s="18">
        <v>45480</v>
      </c>
      <c r="D30">
        <f>SUMPRODUCT(('Daily Data'!$A$4:$A$734&gt;=B30)*('Daily Data'!$A$4:$A$734&lt;=C30)*'Daily Data'!$D$4:$D$734)</f>
        <v>41</v>
      </c>
      <c r="E30" s="19">
        <f>SUMPRODUCT(('Daily Data'!$A$4:$A$734&gt;=B30)*('Daily Data'!$A$4:$A$734&lt;=C30)*'Daily Data'!$G$4:$G$734)</f>
        <v>22046</v>
      </c>
      <c r="F30" s="19">
        <f>SUMPRODUCT(('Daily Data'!$A$4:$A$734&gt;=B30)*('Daily Data'!$A$4:$A$734&lt;=C30)*'Daily Data'!$P$4:$P$734)</f>
        <v>13284</v>
      </c>
      <c r="G30" s="20">
        <f t="shared" si="0"/>
        <v>-0.10687084751255874</v>
      </c>
      <c r="H30" t="str">
        <f t="shared" si="1"/>
        <v>▼ Decrease</v>
      </c>
      <c r="I30" t="s">
        <v>84</v>
      </c>
    </row>
    <row r="31" spans="1:9" x14ac:dyDescent="0.35">
      <c r="A31">
        <v>28</v>
      </c>
      <c r="B31" s="18">
        <v>45481</v>
      </c>
      <c r="C31" s="18">
        <v>45487</v>
      </c>
      <c r="D31">
        <f>SUMPRODUCT(('Daily Data'!$A$4:$A$734&gt;=B31)*('Daily Data'!$A$4:$A$734&lt;=C31)*'Daily Data'!$D$4:$D$734)</f>
        <v>42</v>
      </c>
      <c r="E31" s="19">
        <f>SUMPRODUCT(('Daily Data'!$A$4:$A$734&gt;=B31)*('Daily Data'!$A$4:$A$734&lt;=C31)*'Daily Data'!$G$4:$G$734)</f>
        <v>22107</v>
      </c>
      <c r="F31" s="19">
        <f>SUMPRODUCT(('Daily Data'!$A$4:$A$734&gt;=B31)*('Daily Data'!$A$4:$A$734&lt;=C31)*'Daily Data'!$P$4:$P$734)</f>
        <v>13335</v>
      </c>
      <c r="G31" s="20">
        <f t="shared" si="0"/>
        <v>2.7669418488614713E-3</v>
      </c>
      <c r="H31" t="str">
        <f t="shared" si="1"/>
        <v>▲ Increase</v>
      </c>
      <c r="I31" t="s">
        <v>84</v>
      </c>
    </row>
    <row r="32" spans="1:9" x14ac:dyDescent="0.35">
      <c r="A32">
        <v>29</v>
      </c>
      <c r="B32" s="18">
        <v>45488</v>
      </c>
      <c r="C32" s="18">
        <v>45494</v>
      </c>
      <c r="D32">
        <f>SUMPRODUCT(('Daily Data'!$A$4:$A$734&gt;=B32)*('Daily Data'!$A$4:$A$734&lt;=C32)*'Daily Data'!$D$4:$D$734)</f>
        <v>41</v>
      </c>
      <c r="E32" s="19">
        <f>SUMPRODUCT(('Daily Data'!$A$4:$A$734&gt;=B32)*('Daily Data'!$A$4:$A$734&lt;=C32)*'Daily Data'!$G$4:$G$734)</f>
        <v>22051</v>
      </c>
      <c r="F32" s="19">
        <f>SUMPRODUCT(('Daily Data'!$A$4:$A$734&gt;=B32)*('Daily Data'!$A$4:$A$734&lt;=C32)*'Daily Data'!$P$4:$P$734)</f>
        <v>13288</v>
      </c>
      <c r="G32" s="20">
        <f t="shared" si="0"/>
        <v>-2.5331343013525126E-3</v>
      </c>
      <c r="H32" t="str">
        <f t="shared" si="1"/>
        <v>▼ Decrease</v>
      </c>
      <c r="I32" t="s">
        <v>84</v>
      </c>
    </row>
    <row r="33" spans="1:9" x14ac:dyDescent="0.35">
      <c r="A33">
        <v>30</v>
      </c>
      <c r="B33" s="18">
        <v>45495</v>
      </c>
      <c r="C33" s="18">
        <v>45501</v>
      </c>
      <c r="D33">
        <f>SUMPRODUCT(('Daily Data'!$A$4:$A$734&gt;=B33)*('Daily Data'!$A$4:$A$734&lt;=C33)*'Daily Data'!$D$4:$D$734)</f>
        <v>42</v>
      </c>
      <c r="E33" s="19">
        <f>SUMPRODUCT(('Daily Data'!$A$4:$A$734&gt;=B33)*('Daily Data'!$A$4:$A$734&lt;=C33)*'Daily Data'!$G$4:$G$734)</f>
        <v>21888</v>
      </c>
      <c r="F33" s="19">
        <f>SUMPRODUCT(('Daily Data'!$A$4:$A$734&gt;=B33)*('Daily Data'!$A$4:$A$734&lt;=C33)*'Daily Data'!$P$4:$P$734)</f>
        <v>13118</v>
      </c>
      <c r="G33" s="20">
        <f t="shared" si="0"/>
        <v>-7.3919550133780777E-3</v>
      </c>
      <c r="H33" t="str">
        <f t="shared" si="1"/>
        <v>▼ Decrease</v>
      </c>
      <c r="I33" t="s">
        <v>84</v>
      </c>
    </row>
    <row r="34" spans="1:9" x14ac:dyDescent="0.35">
      <c r="A34">
        <v>31</v>
      </c>
      <c r="B34" s="18">
        <v>45502</v>
      </c>
      <c r="C34" s="18">
        <v>45508</v>
      </c>
      <c r="D34">
        <f>SUMPRODUCT(('Daily Data'!$A$4:$A$734&gt;=B34)*('Daily Data'!$A$4:$A$734&lt;=C34)*'Daily Data'!$D$4:$D$734)</f>
        <v>42</v>
      </c>
      <c r="E34" s="19">
        <f>SUMPRODUCT(('Daily Data'!$A$4:$A$734&gt;=B34)*('Daily Data'!$A$4:$A$734&lt;=C34)*'Daily Data'!$G$4:$G$734)</f>
        <v>22387</v>
      </c>
      <c r="F34" s="19">
        <f>SUMPRODUCT(('Daily Data'!$A$4:$A$734&gt;=B34)*('Daily Data'!$A$4:$A$734&lt;=C34)*'Daily Data'!$P$4:$P$734)</f>
        <v>13609</v>
      </c>
      <c r="G34" s="20">
        <f t="shared" si="0"/>
        <v>2.2797880116959063E-2</v>
      </c>
      <c r="H34" t="str">
        <f t="shared" si="1"/>
        <v>▲ Increase</v>
      </c>
      <c r="I34" t="s">
        <v>84</v>
      </c>
    </row>
    <row r="35" spans="1:9" x14ac:dyDescent="0.35">
      <c r="A35">
        <v>32</v>
      </c>
      <c r="B35" s="18">
        <v>45509</v>
      </c>
      <c r="C35" s="18">
        <v>45515</v>
      </c>
      <c r="D35">
        <f>SUMPRODUCT(('Daily Data'!$A$4:$A$734&gt;=B35)*('Daily Data'!$A$4:$A$734&lt;=C35)*'Daily Data'!$D$4:$D$734)</f>
        <v>42</v>
      </c>
      <c r="E35" s="19">
        <f>SUMPRODUCT(('Daily Data'!$A$4:$A$734&gt;=B35)*('Daily Data'!$A$4:$A$734&lt;=C35)*'Daily Data'!$G$4:$G$734)</f>
        <v>23168</v>
      </c>
      <c r="F35" s="19">
        <f>SUMPRODUCT(('Daily Data'!$A$4:$A$734&gt;=B35)*('Daily Data'!$A$4:$A$734&lt;=C35)*'Daily Data'!$P$4:$P$734)</f>
        <v>14371</v>
      </c>
      <c r="G35" s="20">
        <f t="shared" si="0"/>
        <v>3.4886317952383082E-2</v>
      </c>
      <c r="H35" t="str">
        <f t="shared" si="1"/>
        <v>▲ Increase</v>
      </c>
      <c r="I35" t="s">
        <v>84</v>
      </c>
    </row>
    <row r="36" spans="1:9" x14ac:dyDescent="0.35">
      <c r="A36">
        <v>33</v>
      </c>
      <c r="B36" s="18">
        <v>45516</v>
      </c>
      <c r="C36" s="18">
        <v>45522</v>
      </c>
      <c r="D36">
        <f>SUMPRODUCT(('Daily Data'!$A$4:$A$734&gt;=B36)*('Daily Data'!$A$4:$A$734&lt;=C36)*'Daily Data'!$D$4:$D$734)</f>
        <v>44</v>
      </c>
      <c r="E36" s="19">
        <f>SUMPRODUCT(('Daily Data'!$A$4:$A$734&gt;=B36)*('Daily Data'!$A$4:$A$734&lt;=C36)*'Daily Data'!$G$4:$G$734)</f>
        <v>23209</v>
      </c>
      <c r="F36" s="19">
        <f>SUMPRODUCT(('Daily Data'!$A$4:$A$734&gt;=B36)*('Daily Data'!$A$4:$A$734&lt;=C36)*'Daily Data'!$P$4:$P$734)</f>
        <v>14394</v>
      </c>
      <c r="G36" s="20">
        <f t="shared" si="0"/>
        <v>1.769682320441989E-3</v>
      </c>
      <c r="H36" t="str">
        <f t="shared" si="1"/>
        <v>▲ Increase</v>
      </c>
      <c r="I36" t="s">
        <v>84</v>
      </c>
    </row>
    <row r="37" spans="1:9" x14ac:dyDescent="0.35">
      <c r="A37">
        <v>34</v>
      </c>
      <c r="B37" s="18">
        <v>45523</v>
      </c>
      <c r="C37" s="18">
        <v>45529</v>
      </c>
      <c r="D37">
        <f>SUMPRODUCT(('Daily Data'!$A$4:$A$734&gt;=B37)*('Daily Data'!$A$4:$A$734&lt;=C37)*'Daily Data'!$D$4:$D$734)</f>
        <v>42</v>
      </c>
      <c r="E37" s="19">
        <f>SUMPRODUCT(('Daily Data'!$A$4:$A$734&gt;=B37)*('Daily Data'!$A$4:$A$734&lt;=C37)*'Daily Data'!$G$4:$G$734)</f>
        <v>22143</v>
      </c>
      <c r="F37" s="19">
        <f>SUMPRODUCT(('Daily Data'!$A$4:$A$734&gt;=B37)*('Daily Data'!$A$4:$A$734&lt;=C37)*'Daily Data'!$P$4:$P$734)</f>
        <v>13370</v>
      </c>
      <c r="G37" s="20">
        <f t="shared" ref="G37:G68" si="2">IF(E36=0,0,(E37-E36)/E36)</f>
        <v>-4.5930458011978113E-2</v>
      </c>
      <c r="H37" t="str">
        <f t="shared" ref="H37:H68" si="3">IF(E37&gt;=E36,"▲ Increase","▼ Decrease")</f>
        <v>▼ Decrease</v>
      </c>
      <c r="I37" t="s">
        <v>84</v>
      </c>
    </row>
    <row r="38" spans="1:9" x14ac:dyDescent="0.35">
      <c r="A38">
        <v>35</v>
      </c>
      <c r="B38" s="18">
        <v>45530</v>
      </c>
      <c r="C38" s="18">
        <v>45536</v>
      </c>
      <c r="D38">
        <f>SUMPRODUCT(('Daily Data'!$A$4:$A$734&gt;=B38)*('Daily Data'!$A$4:$A$734&lt;=C38)*'Daily Data'!$D$4:$D$734)</f>
        <v>44</v>
      </c>
      <c r="E38" s="19">
        <f>SUMPRODUCT(('Daily Data'!$A$4:$A$734&gt;=B38)*('Daily Data'!$A$4:$A$734&lt;=C38)*'Daily Data'!$G$4:$G$734)</f>
        <v>23440</v>
      </c>
      <c r="F38" s="19">
        <f>SUMPRODUCT(('Daily Data'!$A$4:$A$734&gt;=B38)*('Daily Data'!$A$4:$A$734&lt;=C38)*'Daily Data'!$P$4:$P$734)</f>
        <v>14583</v>
      </c>
      <c r="G38" s="20">
        <f t="shared" si="2"/>
        <v>5.8573815652802237E-2</v>
      </c>
      <c r="H38" t="str">
        <f t="shared" si="3"/>
        <v>▲ Increase</v>
      </c>
      <c r="I38" t="s">
        <v>84</v>
      </c>
    </row>
    <row r="39" spans="1:9" x14ac:dyDescent="0.35">
      <c r="A39">
        <v>36</v>
      </c>
      <c r="B39" s="18">
        <v>45537</v>
      </c>
      <c r="C39" s="18">
        <v>45543</v>
      </c>
      <c r="D39">
        <f>SUMPRODUCT(('Daily Data'!$A$4:$A$734&gt;=B39)*('Daily Data'!$A$4:$A$734&lt;=C39)*'Daily Data'!$D$4:$D$734)</f>
        <v>46</v>
      </c>
      <c r="E39" s="19">
        <f>SUMPRODUCT(('Daily Data'!$A$4:$A$734&gt;=B39)*('Daily Data'!$A$4:$A$734&lt;=C39)*'Daily Data'!$G$4:$G$734)</f>
        <v>23592</v>
      </c>
      <c r="F39" s="19">
        <f>SUMPRODUCT(('Daily Data'!$A$4:$A$734&gt;=B39)*('Daily Data'!$A$4:$A$734&lt;=C39)*'Daily Data'!$P$4:$P$734)</f>
        <v>14486</v>
      </c>
      <c r="G39" s="20">
        <f t="shared" si="2"/>
        <v>6.4846416382252558E-3</v>
      </c>
      <c r="H39" t="str">
        <f t="shared" si="3"/>
        <v>▲ Increase</v>
      </c>
      <c r="I39" t="s">
        <v>84</v>
      </c>
    </row>
    <row r="40" spans="1:9" x14ac:dyDescent="0.35">
      <c r="A40">
        <v>37</v>
      </c>
      <c r="B40" s="18">
        <v>45544</v>
      </c>
      <c r="C40" s="18">
        <v>45550</v>
      </c>
      <c r="D40">
        <f>SUMPRODUCT(('Daily Data'!$A$4:$A$734&gt;=B40)*('Daily Data'!$A$4:$A$734&lt;=C40)*'Daily Data'!$D$4:$D$734)</f>
        <v>44</v>
      </c>
      <c r="E40" s="19">
        <f>SUMPRODUCT(('Daily Data'!$A$4:$A$734&gt;=B40)*('Daily Data'!$A$4:$A$734&lt;=C40)*'Daily Data'!$G$4:$G$734)</f>
        <v>23718</v>
      </c>
      <c r="F40" s="19">
        <f>SUMPRODUCT(('Daily Data'!$A$4:$A$734&gt;=B40)*('Daily Data'!$A$4:$A$734&lt;=C40)*'Daily Data'!$P$4:$P$734)</f>
        <v>14626</v>
      </c>
      <c r="G40" s="20">
        <f t="shared" si="2"/>
        <v>5.340793489318413E-3</v>
      </c>
      <c r="H40" t="str">
        <f t="shared" si="3"/>
        <v>▲ Increase</v>
      </c>
      <c r="I40" t="s">
        <v>84</v>
      </c>
    </row>
    <row r="41" spans="1:9" x14ac:dyDescent="0.35">
      <c r="A41">
        <v>38</v>
      </c>
      <c r="B41" s="18">
        <v>45551</v>
      </c>
      <c r="C41" s="18">
        <v>45557</v>
      </c>
      <c r="D41">
        <f>SUMPRODUCT(('Daily Data'!$A$4:$A$734&gt;=B41)*('Daily Data'!$A$4:$A$734&lt;=C41)*'Daily Data'!$D$4:$D$734)</f>
        <v>44</v>
      </c>
      <c r="E41" s="19">
        <f>SUMPRODUCT(('Daily Data'!$A$4:$A$734&gt;=B41)*('Daily Data'!$A$4:$A$734&lt;=C41)*'Daily Data'!$G$4:$G$734)</f>
        <v>24075</v>
      </c>
      <c r="F41" s="19">
        <f>SUMPRODUCT(('Daily Data'!$A$4:$A$734&gt;=B41)*('Daily Data'!$A$4:$A$734&lt;=C41)*'Daily Data'!$P$4:$P$734)</f>
        <v>14976</v>
      </c>
      <c r="G41" s="20">
        <f t="shared" si="2"/>
        <v>1.505185934733114E-2</v>
      </c>
      <c r="H41" t="str">
        <f t="shared" si="3"/>
        <v>▲ Increase</v>
      </c>
      <c r="I41" t="s">
        <v>84</v>
      </c>
    </row>
    <row r="42" spans="1:9" x14ac:dyDescent="0.35">
      <c r="A42">
        <v>39</v>
      </c>
      <c r="B42" s="18">
        <v>45558</v>
      </c>
      <c r="C42" s="18">
        <v>45564</v>
      </c>
      <c r="D42">
        <f>SUMPRODUCT(('Daily Data'!$A$4:$A$734&gt;=B42)*('Daily Data'!$A$4:$A$734&lt;=C42)*'Daily Data'!$D$4:$D$734)</f>
        <v>45</v>
      </c>
      <c r="E42" s="19">
        <f>SUMPRODUCT(('Daily Data'!$A$4:$A$734&gt;=B42)*('Daily Data'!$A$4:$A$734&lt;=C42)*'Daily Data'!$G$4:$G$734)</f>
        <v>24047</v>
      </c>
      <c r="F42" s="19">
        <f>SUMPRODUCT(('Daily Data'!$A$4:$A$734&gt;=B42)*('Daily Data'!$A$4:$A$734&lt;=C42)*'Daily Data'!$P$4:$P$734)</f>
        <v>14938</v>
      </c>
      <c r="G42" s="20">
        <f t="shared" si="2"/>
        <v>-1.1630321910695743E-3</v>
      </c>
      <c r="H42" t="str">
        <f t="shared" si="3"/>
        <v>▼ Decrease</v>
      </c>
      <c r="I42" t="s">
        <v>84</v>
      </c>
    </row>
    <row r="43" spans="1:9" x14ac:dyDescent="0.35">
      <c r="A43">
        <v>40</v>
      </c>
      <c r="B43" s="18">
        <v>45565</v>
      </c>
      <c r="C43" s="18">
        <v>45571</v>
      </c>
      <c r="D43">
        <f>SUMPRODUCT(('Daily Data'!$A$4:$A$734&gt;=B43)*('Daily Data'!$A$4:$A$734&lt;=C43)*'Daily Data'!$D$4:$D$734)</f>
        <v>50</v>
      </c>
      <c r="E43" s="19">
        <f>SUMPRODUCT(('Daily Data'!$A$4:$A$734&gt;=B43)*('Daily Data'!$A$4:$A$734&lt;=C43)*'Daily Data'!$G$4:$G$734)</f>
        <v>26941</v>
      </c>
      <c r="F43" s="19">
        <f>SUMPRODUCT(('Daily Data'!$A$4:$A$734&gt;=B43)*('Daily Data'!$A$4:$A$734&lt;=C43)*'Daily Data'!$P$4:$P$734)</f>
        <v>17939</v>
      </c>
      <c r="G43" s="20">
        <f t="shared" si="2"/>
        <v>0.12034765251382709</v>
      </c>
      <c r="H43" t="str">
        <f t="shared" si="3"/>
        <v>▲ Increase</v>
      </c>
      <c r="I43" t="s">
        <v>63</v>
      </c>
    </row>
    <row r="44" spans="1:9" x14ac:dyDescent="0.35">
      <c r="A44">
        <v>41</v>
      </c>
      <c r="B44" s="18">
        <v>45572</v>
      </c>
      <c r="C44" s="18">
        <v>45578</v>
      </c>
      <c r="D44">
        <f>SUMPRODUCT(('Daily Data'!$A$4:$A$734&gt;=B44)*('Daily Data'!$A$4:$A$734&lt;=C44)*'Daily Data'!$D$4:$D$734)</f>
        <v>50</v>
      </c>
      <c r="E44" s="19">
        <f>SUMPRODUCT(('Daily Data'!$A$4:$A$734&gt;=B44)*('Daily Data'!$A$4:$A$734&lt;=C44)*'Daily Data'!$G$4:$G$734)</f>
        <v>27447</v>
      </c>
      <c r="F44" s="19">
        <f>SUMPRODUCT(('Daily Data'!$A$4:$A$734&gt;=B44)*('Daily Data'!$A$4:$A$734&lt;=C44)*'Daily Data'!$P$4:$P$734)</f>
        <v>18468</v>
      </c>
      <c r="G44" s="20">
        <f t="shared" si="2"/>
        <v>1.8781782413421922E-2</v>
      </c>
      <c r="H44" t="str">
        <f t="shared" si="3"/>
        <v>▲ Increase</v>
      </c>
      <c r="I44" t="s">
        <v>63</v>
      </c>
    </row>
    <row r="45" spans="1:9" x14ac:dyDescent="0.35">
      <c r="A45">
        <v>42</v>
      </c>
      <c r="B45" s="18">
        <v>45579</v>
      </c>
      <c r="C45" s="18">
        <v>45585</v>
      </c>
      <c r="D45">
        <f>SUMPRODUCT(('Daily Data'!$A$4:$A$734&gt;=B45)*('Daily Data'!$A$4:$A$734&lt;=C45)*'Daily Data'!$D$4:$D$734)</f>
        <v>51</v>
      </c>
      <c r="E45" s="19">
        <f>SUMPRODUCT(('Daily Data'!$A$4:$A$734&gt;=B45)*('Daily Data'!$A$4:$A$734&lt;=C45)*'Daily Data'!$G$4:$G$734)</f>
        <v>27404</v>
      </c>
      <c r="F45" s="19">
        <f>SUMPRODUCT(('Daily Data'!$A$4:$A$734&gt;=B45)*('Daily Data'!$A$4:$A$734&lt;=C45)*'Daily Data'!$P$4:$P$734)</f>
        <v>18419</v>
      </c>
      <c r="G45" s="20">
        <f t="shared" si="2"/>
        <v>-1.5666557365103654E-3</v>
      </c>
      <c r="H45" t="str">
        <f t="shared" si="3"/>
        <v>▼ Decrease</v>
      </c>
      <c r="I45" t="s">
        <v>63</v>
      </c>
    </row>
    <row r="46" spans="1:9" x14ac:dyDescent="0.35">
      <c r="A46">
        <v>43</v>
      </c>
      <c r="B46" s="18">
        <v>45586</v>
      </c>
      <c r="C46" s="18">
        <v>45592</v>
      </c>
      <c r="D46">
        <f>SUMPRODUCT(('Daily Data'!$A$4:$A$734&gt;=B46)*('Daily Data'!$A$4:$A$734&lt;=C46)*'Daily Data'!$D$4:$D$734)</f>
        <v>50</v>
      </c>
      <c r="E46" s="19">
        <f>SUMPRODUCT(('Daily Data'!$A$4:$A$734&gt;=B46)*('Daily Data'!$A$4:$A$734&lt;=C46)*'Daily Data'!$G$4:$G$734)</f>
        <v>26750</v>
      </c>
      <c r="F46" s="19">
        <f>SUMPRODUCT(('Daily Data'!$A$4:$A$734&gt;=B46)*('Daily Data'!$A$4:$A$734&lt;=C46)*'Daily Data'!$P$4:$P$734)</f>
        <v>17787</v>
      </c>
      <c r="G46" s="20">
        <f t="shared" si="2"/>
        <v>-2.3865129178222158E-2</v>
      </c>
      <c r="H46" t="str">
        <f t="shared" si="3"/>
        <v>▼ Decrease</v>
      </c>
      <c r="I46" t="s">
        <v>63</v>
      </c>
    </row>
    <row r="47" spans="1:9" x14ac:dyDescent="0.35">
      <c r="A47">
        <v>44</v>
      </c>
      <c r="B47" s="18">
        <v>45593</v>
      </c>
      <c r="C47" s="18">
        <v>45599</v>
      </c>
      <c r="D47">
        <f>SUMPRODUCT(('Daily Data'!$A$4:$A$734&gt;=B47)*('Daily Data'!$A$4:$A$734&lt;=C47)*'Daily Data'!$D$4:$D$734)</f>
        <v>52</v>
      </c>
      <c r="E47" s="19">
        <f>SUMPRODUCT(('Daily Data'!$A$4:$A$734&gt;=B47)*('Daily Data'!$A$4:$A$734&lt;=C47)*'Daily Data'!$G$4:$G$734)</f>
        <v>27597</v>
      </c>
      <c r="F47" s="19">
        <f>SUMPRODUCT(('Daily Data'!$A$4:$A$734&gt;=B47)*('Daily Data'!$A$4:$A$734&lt;=C47)*'Daily Data'!$P$4:$P$734)</f>
        <v>18465</v>
      </c>
      <c r="G47" s="20">
        <f t="shared" si="2"/>
        <v>3.1663551401869161E-2</v>
      </c>
      <c r="H47" t="str">
        <f t="shared" si="3"/>
        <v>▲ Increase</v>
      </c>
      <c r="I47" t="s">
        <v>63</v>
      </c>
    </row>
    <row r="48" spans="1:9" x14ac:dyDescent="0.35">
      <c r="A48">
        <v>45</v>
      </c>
      <c r="B48" s="18">
        <v>45600</v>
      </c>
      <c r="C48" s="18">
        <v>45606</v>
      </c>
      <c r="D48">
        <f>SUMPRODUCT(('Daily Data'!$A$4:$A$734&gt;=B48)*('Daily Data'!$A$4:$A$734&lt;=C48)*'Daily Data'!$D$4:$D$734)</f>
        <v>52</v>
      </c>
      <c r="E48" s="19">
        <f>SUMPRODUCT(('Daily Data'!$A$4:$A$734&gt;=B48)*('Daily Data'!$A$4:$A$734&lt;=C48)*'Daily Data'!$G$4:$G$734)</f>
        <v>27908</v>
      </c>
      <c r="F48" s="19">
        <f>SUMPRODUCT(('Daily Data'!$A$4:$A$734&gt;=B48)*('Daily Data'!$A$4:$A$734&lt;=C48)*'Daily Data'!$P$4:$P$734)</f>
        <v>18588</v>
      </c>
      <c r="G48" s="20">
        <f t="shared" si="2"/>
        <v>1.1269340870384462E-2</v>
      </c>
      <c r="H48" t="str">
        <f t="shared" si="3"/>
        <v>▲ Increase</v>
      </c>
      <c r="I48" t="s">
        <v>63</v>
      </c>
    </row>
    <row r="49" spans="1:9" x14ac:dyDescent="0.35">
      <c r="A49">
        <v>46</v>
      </c>
      <c r="B49" s="18">
        <v>45607</v>
      </c>
      <c r="C49" s="18">
        <v>45613</v>
      </c>
      <c r="D49">
        <f>SUMPRODUCT(('Daily Data'!$A$4:$A$734&gt;=B49)*('Daily Data'!$A$4:$A$734&lt;=C49)*'Daily Data'!$D$4:$D$734)</f>
        <v>53</v>
      </c>
      <c r="E49" s="19">
        <f>SUMPRODUCT(('Daily Data'!$A$4:$A$734&gt;=B49)*('Daily Data'!$A$4:$A$734&lt;=C49)*'Daily Data'!$G$4:$G$734)</f>
        <v>28268</v>
      </c>
      <c r="F49" s="19">
        <f>SUMPRODUCT(('Daily Data'!$A$4:$A$734&gt;=B49)*('Daily Data'!$A$4:$A$734&lt;=C49)*'Daily Data'!$P$4:$P$734)</f>
        <v>18933</v>
      </c>
      <c r="G49" s="20">
        <f t="shared" si="2"/>
        <v>1.2899527017342698E-2</v>
      </c>
      <c r="H49" t="str">
        <f t="shared" si="3"/>
        <v>▲ Increase</v>
      </c>
      <c r="I49" t="s">
        <v>63</v>
      </c>
    </row>
    <row r="50" spans="1:9" x14ac:dyDescent="0.35">
      <c r="A50">
        <v>47</v>
      </c>
      <c r="B50" s="18">
        <v>45614</v>
      </c>
      <c r="C50" s="18">
        <v>45620</v>
      </c>
      <c r="D50">
        <f>SUMPRODUCT(('Daily Data'!$A$4:$A$734&gt;=B50)*('Daily Data'!$A$4:$A$734&lt;=C50)*'Daily Data'!$D$4:$D$734)</f>
        <v>54</v>
      </c>
      <c r="E50" s="19">
        <f>SUMPRODUCT(('Daily Data'!$A$4:$A$734&gt;=B50)*('Daily Data'!$A$4:$A$734&lt;=C50)*'Daily Data'!$G$4:$G$734)</f>
        <v>29010</v>
      </c>
      <c r="F50" s="19">
        <f>SUMPRODUCT(('Daily Data'!$A$4:$A$734&gt;=B50)*('Daily Data'!$A$4:$A$734&lt;=C50)*'Daily Data'!$P$4:$P$734)</f>
        <v>19651</v>
      </c>
      <c r="G50" s="20">
        <f t="shared" si="2"/>
        <v>2.6248761850856093E-2</v>
      </c>
      <c r="H50" t="str">
        <f t="shared" si="3"/>
        <v>▲ Increase</v>
      </c>
      <c r="I50" t="s">
        <v>63</v>
      </c>
    </row>
    <row r="51" spans="1:9" x14ac:dyDescent="0.35">
      <c r="A51">
        <v>48</v>
      </c>
      <c r="B51" s="18">
        <v>45621</v>
      </c>
      <c r="C51" s="18">
        <v>45627</v>
      </c>
      <c r="D51">
        <f>SUMPRODUCT(('Daily Data'!$A$4:$A$734&gt;=B51)*('Daily Data'!$A$4:$A$734&lt;=C51)*'Daily Data'!$D$4:$D$734)</f>
        <v>59</v>
      </c>
      <c r="E51" s="19">
        <f>SUMPRODUCT(('Daily Data'!$A$4:$A$734&gt;=B51)*('Daily Data'!$A$4:$A$734&lt;=C51)*'Daily Data'!$G$4:$G$734)</f>
        <v>30939</v>
      </c>
      <c r="F51" s="19">
        <f>SUMPRODUCT(('Daily Data'!$A$4:$A$734&gt;=B51)*('Daily Data'!$A$4:$A$734&lt;=C51)*'Daily Data'!$P$4:$P$734)</f>
        <v>21471</v>
      </c>
      <c r="G51" s="20">
        <f t="shared" si="2"/>
        <v>6.6494312306101339E-2</v>
      </c>
      <c r="H51" t="str">
        <f t="shared" si="3"/>
        <v>▲ Increase</v>
      </c>
      <c r="I51" t="s">
        <v>63</v>
      </c>
    </row>
    <row r="52" spans="1:9" x14ac:dyDescent="0.35">
      <c r="A52">
        <v>49</v>
      </c>
      <c r="B52" s="18">
        <v>45628</v>
      </c>
      <c r="C52" s="18">
        <v>45634</v>
      </c>
      <c r="D52">
        <f>SUMPRODUCT(('Daily Data'!$A$4:$A$734&gt;=B52)*('Daily Data'!$A$4:$A$734&lt;=C52)*'Daily Data'!$D$4:$D$734)</f>
        <v>83</v>
      </c>
      <c r="E52" s="19">
        <f>SUMPRODUCT(('Daily Data'!$A$4:$A$734&gt;=B52)*('Daily Data'!$A$4:$A$734&lt;=C52)*'Daily Data'!$G$4:$G$734)</f>
        <v>44103</v>
      </c>
      <c r="F52" s="19">
        <f>SUMPRODUCT(('Daily Data'!$A$4:$A$734&gt;=B52)*('Daily Data'!$A$4:$A$734&lt;=C52)*'Daily Data'!$P$4:$P$734)</f>
        <v>33997</v>
      </c>
      <c r="G52" s="20">
        <f t="shared" si="2"/>
        <v>0.42548240085329198</v>
      </c>
      <c r="H52" t="str">
        <f t="shared" si="3"/>
        <v>▲ Increase</v>
      </c>
      <c r="I52" t="s">
        <v>80</v>
      </c>
    </row>
    <row r="53" spans="1:9" x14ac:dyDescent="0.35">
      <c r="A53">
        <v>50</v>
      </c>
      <c r="B53" s="18">
        <v>45635</v>
      </c>
      <c r="C53" s="18">
        <v>45641</v>
      </c>
      <c r="D53">
        <f>SUMPRODUCT(('Daily Data'!$A$4:$A$734&gt;=B53)*('Daily Data'!$A$4:$A$734&lt;=C53)*'Daily Data'!$D$4:$D$734)</f>
        <v>93</v>
      </c>
      <c r="E53" s="19">
        <f>SUMPRODUCT(('Daily Data'!$A$4:$A$734&gt;=B53)*('Daily Data'!$A$4:$A$734&lt;=C53)*'Daily Data'!$G$4:$G$734)</f>
        <v>49608</v>
      </c>
      <c r="F53" s="19">
        <f>SUMPRODUCT(('Daily Data'!$A$4:$A$734&gt;=B53)*('Daily Data'!$A$4:$A$734&lt;=C53)*'Daily Data'!$P$4:$P$734)</f>
        <v>39298</v>
      </c>
      <c r="G53" s="20">
        <f t="shared" si="2"/>
        <v>0.12482144071831848</v>
      </c>
      <c r="H53" t="str">
        <f t="shared" si="3"/>
        <v>▲ Increase</v>
      </c>
      <c r="I53" t="s">
        <v>80</v>
      </c>
    </row>
    <row r="54" spans="1:9" x14ac:dyDescent="0.35">
      <c r="A54">
        <v>51</v>
      </c>
      <c r="B54" s="18">
        <v>45642</v>
      </c>
      <c r="C54" s="18">
        <v>45648</v>
      </c>
      <c r="D54">
        <f>SUMPRODUCT(('Daily Data'!$A$4:$A$734&gt;=B54)*('Daily Data'!$A$4:$A$734&lt;=C54)*'Daily Data'!$D$4:$D$734)</f>
        <v>138</v>
      </c>
      <c r="E54" s="19">
        <f>SUMPRODUCT(('Daily Data'!$A$4:$A$734&gt;=B54)*('Daily Data'!$A$4:$A$734&lt;=C54)*'Daily Data'!$G$4:$G$734)</f>
        <v>72860</v>
      </c>
      <c r="F54" s="19">
        <f>SUMPRODUCT(('Daily Data'!$A$4:$A$734&gt;=B54)*('Daily Data'!$A$4:$A$734&lt;=C54)*'Daily Data'!$P$4:$P$734)</f>
        <v>61672</v>
      </c>
      <c r="G54" s="20">
        <f t="shared" si="2"/>
        <v>0.46871472343170456</v>
      </c>
      <c r="H54" t="str">
        <f t="shared" si="3"/>
        <v>▲ Increase</v>
      </c>
      <c r="I54" t="s">
        <v>80</v>
      </c>
    </row>
    <row r="55" spans="1:9" x14ac:dyDescent="0.35">
      <c r="A55">
        <v>52</v>
      </c>
      <c r="B55" s="18">
        <v>45649</v>
      </c>
      <c r="C55" s="18">
        <v>45655</v>
      </c>
      <c r="D55">
        <f>SUMPRODUCT(('Daily Data'!$A$4:$A$734&gt;=B55)*('Daily Data'!$A$4:$A$734&lt;=C55)*'Daily Data'!$D$4:$D$734)</f>
        <v>145</v>
      </c>
      <c r="E55" s="19">
        <f>SUMPRODUCT(('Daily Data'!$A$4:$A$734&gt;=B55)*('Daily Data'!$A$4:$A$734&lt;=C55)*'Daily Data'!$G$4:$G$734)</f>
        <v>77594</v>
      </c>
      <c r="F55" s="19">
        <f>SUMPRODUCT(('Daily Data'!$A$4:$A$734&gt;=B55)*('Daily Data'!$A$4:$A$734&lt;=C55)*'Daily Data'!$P$4:$P$734)</f>
        <v>66245</v>
      </c>
      <c r="G55" s="20">
        <f t="shared" si="2"/>
        <v>6.4973922591270925E-2</v>
      </c>
      <c r="H55" t="str">
        <f t="shared" si="3"/>
        <v>▲ Increase</v>
      </c>
      <c r="I55" t="s">
        <v>80</v>
      </c>
    </row>
    <row r="56" spans="1:9" x14ac:dyDescent="0.35">
      <c r="A56">
        <v>53</v>
      </c>
      <c r="B56" s="18">
        <v>45656</v>
      </c>
      <c r="C56" s="18">
        <v>45662</v>
      </c>
      <c r="D56">
        <f>SUMPRODUCT(('Daily Data'!$A$4:$A$734&gt;=B56)*('Daily Data'!$A$4:$A$734&lt;=C56)*'Daily Data'!$D$4:$D$734)</f>
        <v>70</v>
      </c>
      <c r="E56" s="19">
        <f>SUMPRODUCT(('Daily Data'!$A$4:$A$734&gt;=B56)*('Daily Data'!$A$4:$A$734&lt;=C56)*'Daily Data'!$G$4:$G$734)</f>
        <v>37133</v>
      </c>
      <c r="F56" s="19">
        <f>SUMPRODUCT(('Daily Data'!$A$4:$A$734&gt;=B56)*('Daily Data'!$A$4:$A$734&lt;=C56)*'Daily Data'!$P$4:$P$734)</f>
        <v>27653</v>
      </c>
      <c r="G56" s="20">
        <f t="shared" si="2"/>
        <v>-0.5214449570843106</v>
      </c>
      <c r="H56" t="str">
        <f t="shared" si="3"/>
        <v>▼ Decrease</v>
      </c>
      <c r="I56" t="s">
        <v>63</v>
      </c>
    </row>
    <row r="57" spans="1:9" x14ac:dyDescent="0.35">
      <c r="A57">
        <v>54</v>
      </c>
      <c r="B57" s="18">
        <v>45663</v>
      </c>
      <c r="C57" s="18">
        <v>45669</v>
      </c>
      <c r="D57">
        <f>SUMPRODUCT(('Daily Data'!$A$4:$A$734&gt;=B57)*('Daily Data'!$A$4:$A$734&lt;=C57)*'Daily Data'!$D$4:$D$734)</f>
        <v>41</v>
      </c>
      <c r="E57" s="19">
        <f>SUMPRODUCT(('Daily Data'!$A$4:$A$734&gt;=B57)*('Daily Data'!$A$4:$A$734&lt;=C57)*'Daily Data'!$G$4:$G$734)</f>
        <v>21861</v>
      </c>
      <c r="F57" s="19">
        <f>SUMPRODUCT(('Daily Data'!$A$4:$A$734&gt;=B57)*('Daily Data'!$A$4:$A$734&lt;=C57)*'Daily Data'!$P$4:$P$734)</f>
        <v>13102</v>
      </c>
      <c r="G57" s="20">
        <f t="shared" si="2"/>
        <v>-0.41127837772331888</v>
      </c>
      <c r="H57" t="str">
        <f t="shared" si="3"/>
        <v>▼ Decrease</v>
      </c>
      <c r="I57" t="s">
        <v>63</v>
      </c>
    </row>
    <row r="58" spans="1:9" x14ac:dyDescent="0.35">
      <c r="A58">
        <v>55</v>
      </c>
      <c r="B58" s="18">
        <v>45670</v>
      </c>
      <c r="C58" s="18">
        <v>45676</v>
      </c>
      <c r="D58">
        <f>SUMPRODUCT(('Daily Data'!$A$4:$A$734&gt;=B58)*('Daily Data'!$A$4:$A$734&lt;=C58)*'Daily Data'!$D$4:$D$734)</f>
        <v>41</v>
      </c>
      <c r="E58" s="19">
        <f>SUMPRODUCT(('Daily Data'!$A$4:$A$734&gt;=B58)*('Daily Data'!$A$4:$A$734&lt;=C58)*'Daily Data'!$G$4:$G$734)</f>
        <v>21861</v>
      </c>
      <c r="F58" s="19">
        <f>SUMPRODUCT(('Daily Data'!$A$4:$A$734&gt;=B58)*('Daily Data'!$A$4:$A$734&lt;=C58)*'Daily Data'!$P$4:$P$734)</f>
        <v>13102</v>
      </c>
      <c r="G58" s="20">
        <f t="shared" si="2"/>
        <v>0</v>
      </c>
      <c r="H58" t="str">
        <f t="shared" si="3"/>
        <v>▲ Increase</v>
      </c>
      <c r="I58" t="s">
        <v>63</v>
      </c>
    </row>
    <row r="59" spans="1:9" x14ac:dyDescent="0.35">
      <c r="A59">
        <v>56</v>
      </c>
      <c r="B59" s="18">
        <v>45677</v>
      </c>
      <c r="C59" s="18">
        <v>45683</v>
      </c>
      <c r="D59">
        <f>SUMPRODUCT(('Daily Data'!$A$4:$A$734&gt;=B59)*('Daily Data'!$A$4:$A$734&lt;=C59)*'Daily Data'!$D$4:$D$734)</f>
        <v>41</v>
      </c>
      <c r="E59" s="19">
        <f>SUMPRODUCT(('Daily Data'!$A$4:$A$734&gt;=B59)*('Daily Data'!$A$4:$A$734&lt;=C59)*'Daily Data'!$G$4:$G$734)</f>
        <v>21861</v>
      </c>
      <c r="F59" s="19">
        <f>SUMPRODUCT(('Daily Data'!$A$4:$A$734&gt;=B59)*('Daily Data'!$A$4:$A$734&lt;=C59)*'Daily Data'!$P$4:$P$734)</f>
        <v>13102</v>
      </c>
      <c r="G59" s="20">
        <f t="shared" si="2"/>
        <v>0</v>
      </c>
      <c r="H59" t="str">
        <f t="shared" si="3"/>
        <v>▲ Increase</v>
      </c>
      <c r="I59" t="s">
        <v>63</v>
      </c>
    </row>
    <row r="60" spans="1:9" x14ac:dyDescent="0.35">
      <c r="A60">
        <v>57</v>
      </c>
      <c r="B60" s="18">
        <v>45684</v>
      </c>
      <c r="C60" s="18">
        <v>45690</v>
      </c>
      <c r="D60">
        <f>SUMPRODUCT(('Daily Data'!$A$4:$A$734&gt;=B60)*('Daily Data'!$A$4:$A$734&lt;=C60)*'Daily Data'!$D$4:$D$734)</f>
        <v>46</v>
      </c>
      <c r="E60" s="19">
        <f>SUMPRODUCT(('Daily Data'!$A$4:$A$734&gt;=B60)*('Daily Data'!$A$4:$A$734&lt;=C60)*'Daily Data'!$G$4:$G$734)</f>
        <v>24300</v>
      </c>
      <c r="F60" s="19">
        <f>SUMPRODUCT(('Daily Data'!$A$4:$A$734&gt;=B60)*('Daily Data'!$A$4:$A$734&lt;=C60)*'Daily Data'!$P$4:$P$734)</f>
        <v>15195</v>
      </c>
      <c r="G60" s="20">
        <f t="shared" si="2"/>
        <v>0.11156854672704816</v>
      </c>
      <c r="H60" t="str">
        <f t="shared" si="3"/>
        <v>▲ Increase</v>
      </c>
      <c r="I60" t="s">
        <v>63</v>
      </c>
    </row>
    <row r="61" spans="1:9" x14ac:dyDescent="0.35">
      <c r="A61">
        <v>58</v>
      </c>
      <c r="B61" s="18">
        <v>45691</v>
      </c>
      <c r="C61" s="18">
        <v>45697</v>
      </c>
      <c r="D61">
        <f>SUMPRODUCT(('Daily Data'!$A$4:$A$734&gt;=B61)*('Daily Data'!$A$4:$A$734&lt;=C61)*'Daily Data'!$D$4:$D$734)</f>
        <v>54</v>
      </c>
      <c r="E61" s="19">
        <f>SUMPRODUCT(('Daily Data'!$A$4:$A$734&gt;=B61)*('Daily Data'!$A$4:$A$734&lt;=C61)*'Daily Data'!$G$4:$G$734)</f>
        <v>28933</v>
      </c>
      <c r="F61" s="19">
        <f>SUMPRODUCT(('Daily Data'!$A$4:$A$734&gt;=B61)*('Daily Data'!$A$4:$A$734&lt;=C61)*'Daily Data'!$P$4:$P$734)</f>
        <v>19029</v>
      </c>
      <c r="G61" s="20">
        <f t="shared" si="2"/>
        <v>0.19065843621399178</v>
      </c>
      <c r="H61" t="str">
        <f t="shared" si="3"/>
        <v>▲ Increase</v>
      </c>
      <c r="I61" t="s">
        <v>63</v>
      </c>
    </row>
    <row r="62" spans="1:9" x14ac:dyDescent="0.35">
      <c r="A62">
        <v>59</v>
      </c>
      <c r="B62" s="18">
        <v>45698</v>
      </c>
      <c r="C62" s="18">
        <v>45704</v>
      </c>
      <c r="D62">
        <f>SUMPRODUCT(('Daily Data'!$A$4:$A$734&gt;=B62)*('Daily Data'!$A$4:$A$734&lt;=C62)*'Daily Data'!$D$4:$D$734)</f>
        <v>54</v>
      </c>
      <c r="E62" s="19">
        <f>SUMPRODUCT(('Daily Data'!$A$4:$A$734&gt;=B62)*('Daily Data'!$A$4:$A$734&lt;=C62)*'Daily Data'!$G$4:$G$734)</f>
        <v>28933</v>
      </c>
      <c r="F62" s="19">
        <f>SUMPRODUCT(('Daily Data'!$A$4:$A$734&gt;=B62)*('Daily Data'!$A$4:$A$734&lt;=C62)*'Daily Data'!$P$4:$P$734)</f>
        <v>19029</v>
      </c>
      <c r="G62" s="20">
        <f t="shared" si="2"/>
        <v>0</v>
      </c>
      <c r="H62" t="str">
        <f t="shared" si="3"/>
        <v>▲ Increase</v>
      </c>
      <c r="I62" t="s">
        <v>63</v>
      </c>
    </row>
    <row r="63" spans="1:9" x14ac:dyDescent="0.35">
      <c r="A63">
        <v>60</v>
      </c>
      <c r="B63" s="18">
        <v>45705</v>
      </c>
      <c r="C63" s="18">
        <v>45711</v>
      </c>
      <c r="D63">
        <f>SUMPRODUCT(('Daily Data'!$A$4:$A$734&gt;=B63)*('Daily Data'!$A$4:$A$734&lt;=C63)*'Daily Data'!$D$4:$D$734)</f>
        <v>54</v>
      </c>
      <c r="E63" s="19">
        <f>SUMPRODUCT(('Daily Data'!$A$4:$A$734&gt;=B63)*('Daily Data'!$A$4:$A$734&lt;=C63)*'Daily Data'!$G$4:$G$734)</f>
        <v>28933</v>
      </c>
      <c r="F63" s="19">
        <f>SUMPRODUCT(('Daily Data'!$A$4:$A$734&gt;=B63)*('Daily Data'!$A$4:$A$734&lt;=C63)*'Daily Data'!$P$4:$P$734)</f>
        <v>19029</v>
      </c>
      <c r="G63" s="20">
        <f t="shared" si="2"/>
        <v>0</v>
      </c>
      <c r="H63" t="str">
        <f t="shared" si="3"/>
        <v>▲ Increase</v>
      </c>
      <c r="I63" t="s">
        <v>63</v>
      </c>
    </row>
    <row r="64" spans="1:9" x14ac:dyDescent="0.35">
      <c r="A64">
        <v>61</v>
      </c>
      <c r="B64" s="18">
        <v>45712</v>
      </c>
      <c r="C64" s="18">
        <v>45718</v>
      </c>
      <c r="D64">
        <f>SUMPRODUCT(('Daily Data'!$A$4:$A$734&gt;=B64)*('Daily Data'!$A$4:$A$734&lt;=C64)*'Daily Data'!$D$4:$D$734)</f>
        <v>55</v>
      </c>
      <c r="E64" s="19">
        <f>SUMPRODUCT(('Daily Data'!$A$4:$A$734&gt;=B64)*('Daily Data'!$A$4:$A$734&lt;=C64)*'Daily Data'!$G$4:$G$734)</f>
        <v>28602</v>
      </c>
      <c r="F64" s="19">
        <f>SUMPRODUCT(('Daily Data'!$A$4:$A$734&gt;=B64)*('Daily Data'!$A$4:$A$734&lt;=C64)*'Daily Data'!$P$4:$P$734)</f>
        <v>18929</v>
      </c>
      <c r="G64" s="20">
        <f t="shared" si="2"/>
        <v>-1.144022396571389E-2</v>
      </c>
      <c r="H64" t="str">
        <f t="shared" si="3"/>
        <v>▼ Decrease</v>
      </c>
      <c r="I64" t="s">
        <v>63</v>
      </c>
    </row>
    <row r="65" spans="1:9" x14ac:dyDescent="0.35">
      <c r="A65">
        <v>62</v>
      </c>
      <c r="B65" s="18">
        <v>45719</v>
      </c>
      <c r="C65" s="18">
        <v>45725</v>
      </c>
      <c r="D65">
        <f>SUMPRODUCT(('Daily Data'!$A$4:$A$734&gt;=B65)*('Daily Data'!$A$4:$A$734&lt;=C65)*'Daily Data'!$D$4:$D$734)</f>
        <v>54</v>
      </c>
      <c r="E65" s="19">
        <f>SUMPRODUCT(('Daily Data'!$A$4:$A$734&gt;=B65)*('Daily Data'!$A$4:$A$734&lt;=C65)*'Daily Data'!$G$4:$G$734)</f>
        <v>27978</v>
      </c>
      <c r="F65" s="19">
        <f>SUMPRODUCT(('Daily Data'!$A$4:$A$734&gt;=B65)*('Daily Data'!$A$4:$A$734&lt;=C65)*'Daily Data'!$P$4:$P$734)</f>
        <v>18907</v>
      </c>
      <c r="G65" s="20">
        <f t="shared" si="2"/>
        <v>-2.1816656177889658E-2</v>
      </c>
      <c r="H65" t="str">
        <f t="shared" si="3"/>
        <v>▼ Decrease</v>
      </c>
      <c r="I65" t="s">
        <v>80</v>
      </c>
    </row>
    <row r="66" spans="1:9" x14ac:dyDescent="0.35">
      <c r="A66">
        <v>63</v>
      </c>
      <c r="B66" s="18">
        <v>45726</v>
      </c>
      <c r="C66" s="18">
        <v>45732</v>
      </c>
      <c r="D66">
        <f>SUMPRODUCT(('Daily Data'!$A$4:$A$734&gt;=B66)*('Daily Data'!$A$4:$A$734&lt;=C66)*'Daily Data'!$D$4:$D$734)</f>
        <v>54</v>
      </c>
      <c r="E66" s="19">
        <f>SUMPRODUCT(('Daily Data'!$A$4:$A$734&gt;=B66)*('Daily Data'!$A$4:$A$734&lt;=C66)*'Daily Data'!$G$4:$G$734)</f>
        <v>27978</v>
      </c>
      <c r="F66" s="19">
        <f>SUMPRODUCT(('Daily Data'!$A$4:$A$734&gt;=B66)*('Daily Data'!$A$4:$A$734&lt;=C66)*'Daily Data'!$P$4:$P$734)</f>
        <v>18907</v>
      </c>
      <c r="G66" s="20">
        <f t="shared" si="2"/>
        <v>0</v>
      </c>
      <c r="H66" t="str">
        <f t="shared" si="3"/>
        <v>▲ Increase</v>
      </c>
      <c r="I66" t="s">
        <v>80</v>
      </c>
    </row>
    <row r="67" spans="1:9" x14ac:dyDescent="0.35">
      <c r="A67">
        <v>64</v>
      </c>
      <c r="B67" s="18">
        <v>45733</v>
      </c>
      <c r="C67" s="18">
        <v>45739</v>
      </c>
      <c r="D67">
        <f>SUMPRODUCT(('Daily Data'!$A$4:$A$734&gt;=B67)*('Daily Data'!$A$4:$A$734&lt;=C67)*'Daily Data'!$D$4:$D$734)</f>
        <v>54</v>
      </c>
      <c r="E67" s="19">
        <f>SUMPRODUCT(('Daily Data'!$A$4:$A$734&gt;=B67)*('Daily Data'!$A$4:$A$734&lt;=C67)*'Daily Data'!$G$4:$G$734)</f>
        <v>27978</v>
      </c>
      <c r="F67" s="19">
        <f>SUMPRODUCT(('Daily Data'!$A$4:$A$734&gt;=B67)*('Daily Data'!$A$4:$A$734&lt;=C67)*'Daily Data'!$P$4:$P$734)</f>
        <v>18907</v>
      </c>
      <c r="G67" s="20">
        <f t="shared" si="2"/>
        <v>0</v>
      </c>
      <c r="H67" t="str">
        <f t="shared" si="3"/>
        <v>▲ Increase</v>
      </c>
      <c r="I67" t="s">
        <v>80</v>
      </c>
    </row>
    <row r="68" spans="1:9" x14ac:dyDescent="0.35">
      <c r="A68">
        <v>65</v>
      </c>
      <c r="B68" s="18">
        <v>45740</v>
      </c>
      <c r="C68" s="18">
        <v>45746</v>
      </c>
      <c r="D68">
        <f>SUMPRODUCT(('Daily Data'!$A$4:$A$734&gt;=B68)*('Daily Data'!$A$4:$A$734&lt;=C68)*'Daily Data'!$D$4:$D$734)</f>
        <v>54</v>
      </c>
      <c r="E68" s="19">
        <f>SUMPRODUCT(('Daily Data'!$A$4:$A$734&gt;=B68)*('Daily Data'!$A$4:$A$734&lt;=C68)*'Daily Data'!$G$4:$G$734)</f>
        <v>27978</v>
      </c>
      <c r="F68" s="19">
        <f>SUMPRODUCT(('Daily Data'!$A$4:$A$734&gt;=B68)*('Daily Data'!$A$4:$A$734&lt;=C68)*'Daily Data'!$P$4:$P$734)</f>
        <v>18907</v>
      </c>
      <c r="G68" s="20">
        <f t="shared" si="2"/>
        <v>0</v>
      </c>
      <c r="H68" t="str">
        <f t="shared" si="3"/>
        <v>▲ Increase</v>
      </c>
      <c r="I68" t="s">
        <v>80</v>
      </c>
    </row>
    <row r="69" spans="1:9" x14ac:dyDescent="0.35">
      <c r="A69">
        <v>66</v>
      </c>
      <c r="B69" s="18">
        <v>45747</v>
      </c>
      <c r="C69" s="18">
        <v>45753</v>
      </c>
      <c r="D69">
        <f>SUMPRODUCT(('Daily Data'!$A$4:$A$734&gt;=B69)*('Daily Data'!$A$4:$A$734&lt;=C69)*'Daily Data'!$D$4:$D$734)</f>
        <v>46</v>
      </c>
      <c r="E69" s="19">
        <f>SUMPRODUCT(('Daily Data'!$A$4:$A$734&gt;=B69)*('Daily Data'!$A$4:$A$734&lt;=C69)*'Daily Data'!$G$4:$G$734)</f>
        <v>25992</v>
      </c>
      <c r="F69" s="19">
        <f>SUMPRODUCT(('Daily Data'!$A$4:$A$734&gt;=B69)*('Daily Data'!$A$4:$A$734&lt;=C69)*'Daily Data'!$P$4:$P$734)</f>
        <v>16743</v>
      </c>
      <c r="G69" s="20">
        <f t="shared" ref="G69:G100" si="4">IF(E68=0,0,(E69-E68)/E68)</f>
        <v>-7.0984344842376146E-2</v>
      </c>
      <c r="H69" t="str">
        <f t="shared" ref="H69:H100" si="5">IF(E69&gt;=E68,"▲ Increase","▼ Decrease")</f>
        <v>▼ Decrease</v>
      </c>
      <c r="I69" t="s">
        <v>80</v>
      </c>
    </row>
    <row r="70" spans="1:9" x14ac:dyDescent="0.35">
      <c r="A70">
        <v>67</v>
      </c>
      <c r="B70" s="18">
        <v>45754</v>
      </c>
      <c r="C70" s="18">
        <v>45760</v>
      </c>
      <c r="D70">
        <f>SUMPRODUCT(('Daily Data'!$A$4:$A$734&gt;=B70)*('Daily Data'!$A$4:$A$734&lt;=C70)*'Daily Data'!$D$4:$D$734)</f>
        <v>49</v>
      </c>
      <c r="E70" s="19">
        <f>SUMPRODUCT(('Daily Data'!$A$4:$A$734&gt;=B70)*('Daily Data'!$A$4:$A$734&lt;=C70)*'Daily Data'!$G$4:$G$734)</f>
        <v>25728</v>
      </c>
      <c r="F70" s="19">
        <f>SUMPRODUCT(('Daily Data'!$A$4:$A$734&gt;=B70)*('Daily Data'!$A$4:$A$734&lt;=C70)*'Daily Data'!$P$4:$P$734)</f>
        <v>16411</v>
      </c>
      <c r="G70" s="20">
        <f t="shared" si="4"/>
        <v>-1.0156971375807941E-2</v>
      </c>
      <c r="H70" t="str">
        <f t="shared" si="5"/>
        <v>▼ Decrease</v>
      </c>
      <c r="I70" t="s">
        <v>80</v>
      </c>
    </row>
    <row r="71" spans="1:9" x14ac:dyDescent="0.35">
      <c r="A71">
        <v>68</v>
      </c>
      <c r="B71" s="18">
        <v>45761</v>
      </c>
      <c r="C71" s="18">
        <v>45767</v>
      </c>
      <c r="D71">
        <f>SUMPRODUCT(('Daily Data'!$A$4:$A$734&gt;=B71)*('Daily Data'!$A$4:$A$734&lt;=C71)*'Daily Data'!$D$4:$D$734)</f>
        <v>49</v>
      </c>
      <c r="E71" s="19">
        <f>SUMPRODUCT(('Daily Data'!$A$4:$A$734&gt;=B71)*('Daily Data'!$A$4:$A$734&lt;=C71)*'Daily Data'!$G$4:$G$734)</f>
        <v>25728</v>
      </c>
      <c r="F71" s="19">
        <f>SUMPRODUCT(('Daily Data'!$A$4:$A$734&gt;=B71)*('Daily Data'!$A$4:$A$734&lt;=C71)*'Daily Data'!$P$4:$P$734)</f>
        <v>16411</v>
      </c>
      <c r="G71" s="20">
        <f t="shared" si="4"/>
        <v>0</v>
      </c>
      <c r="H71" t="str">
        <f t="shared" si="5"/>
        <v>▲ Increase</v>
      </c>
      <c r="I71" t="s">
        <v>80</v>
      </c>
    </row>
    <row r="72" spans="1:9" x14ac:dyDescent="0.35">
      <c r="A72">
        <v>69</v>
      </c>
      <c r="B72" s="18">
        <v>45768</v>
      </c>
      <c r="C72" s="18">
        <v>45774</v>
      </c>
      <c r="D72">
        <f>SUMPRODUCT(('Daily Data'!$A$4:$A$734&gt;=B72)*('Daily Data'!$A$4:$A$734&lt;=C72)*'Daily Data'!$D$4:$D$734)</f>
        <v>49</v>
      </c>
      <c r="E72" s="19">
        <f>SUMPRODUCT(('Daily Data'!$A$4:$A$734&gt;=B72)*('Daily Data'!$A$4:$A$734&lt;=C72)*'Daily Data'!$G$4:$G$734)</f>
        <v>25728</v>
      </c>
      <c r="F72" s="19">
        <f>SUMPRODUCT(('Daily Data'!$A$4:$A$734&gt;=B72)*('Daily Data'!$A$4:$A$734&lt;=C72)*'Daily Data'!$P$4:$P$734)</f>
        <v>16411</v>
      </c>
      <c r="G72" s="20">
        <f t="shared" si="4"/>
        <v>0</v>
      </c>
      <c r="H72" t="str">
        <f t="shared" si="5"/>
        <v>▲ Increase</v>
      </c>
      <c r="I72" t="s">
        <v>80</v>
      </c>
    </row>
    <row r="73" spans="1:9" x14ac:dyDescent="0.35">
      <c r="A73">
        <v>70</v>
      </c>
      <c r="B73" s="18">
        <v>45775</v>
      </c>
      <c r="C73" s="18">
        <v>45781</v>
      </c>
      <c r="D73">
        <f>SUMPRODUCT(('Daily Data'!$A$4:$A$734&gt;=B73)*('Daily Data'!$A$4:$A$734&lt;=C73)*'Daily Data'!$D$4:$D$734)</f>
        <v>52</v>
      </c>
      <c r="E73" s="19">
        <f>SUMPRODUCT(('Daily Data'!$A$4:$A$734&gt;=B73)*('Daily Data'!$A$4:$A$734&lt;=C73)*'Daily Data'!$G$4:$G$734)</f>
        <v>27025</v>
      </c>
      <c r="F73" s="19">
        <f>SUMPRODUCT(('Daily Data'!$A$4:$A$734&gt;=B73)*('Daily Data'!$A$4:$A$734&lt;=C73)*'Daily Data'!$P$4:$P$734)</f>
        <v>17799</v>
      </c>
      <c r="G73" s="20">
        <f t="shared" si="4"/>
        <v>5.0412002487562189E-2</v>
      </c>
      <c r="H73" t="str">
        <f t="shared" si="5"/>
        <v>▲ Increase</v>
      </c>
      <c r="I73" t="s">
        <v>80</v>
      </c>
    </row>
    <row r="74" spans="1:9" x14ac:dyDescent="0.35">
      <c r="A74">
        <v>71</v>
      </c>
      <c r="B74" s="18">
        <v>45782</v>
      </c>
      <c r="C74" s="18">
        <v>45788</v>
      </c>
      <c r="D74">
        <f>SUMPRODUCT(('Daily Data'!$A$4:$A$734&gt;=B74)*('Daily Data'!$A$4:$A$734&lt;=C74)*'Daily Data'!$D$4:$D$734)</f>
        <v>54</v>
      </c>
      <c r="E74" s="19">
        <f>SUMPRODUCT(('Daily Data'!$A$4:$A$734&gt;=B74)*('Daily Data'!$A$4:$A$734&lt;=C74)*'Daily Data'!$G$4:$G$734)</f>
        <v>27791</v>
      </c>
      <c r="F74" s="19">
        <f>SUMPRODUCT(('Daily Data'!$A$4:$A$734&gt;=B74)*('Daily Data'!$A$4:$A$734&lt;=C74)*'Daily Data'!$P$4:$P$734)</f>
        <v>18640</v>
      </c>
      <c r="G74" s="20">
        <f t="shared" si="4"/>
        <v>2.8344125809435707E-2</v>
      </c>
      <c r="H74" t="str">
        <f t="shared" si="5"/>
        <v>▲ Increase</v>
      </c>
      <c r="I74" t="s">
        <v>80</v>
      </c>
    </row>
    <row r="75" spans="1:9" x14ac:dyDescent="0.35">
      <c r="A75">
        <v>72</v>
      </c>
      <c r="B75" s="18">
        <v>45789</v>
      </c>
      <c r="C75" s="18">
        <v>45795</v>
      </c>
      <c r="D75">
        <f>SUMPRODUCT(('Daily Data'!$A$4:$A$734&gt;=B75)*('Daily Data'!$A$4:$A$734&lt;=C75)*'Daily Data'!$D$4:$D$734)</f>
        <v>54</v>
      </c>
      <c r="E75" s="19">
        <f>SUMPRODUCT(('Daily Data'!$A$4:$A$734&gt;=B75)*('Daily Data'!$A$4:$A$734&lt;=C75)*'Daily Data'!$G$4:$G$734)</f>
        <v>27791</v>
      </c>
      <c r="F75" s="19">
        <f>SUMPRODUCT(('Daily Data'!$A$4:$A$734&gt;=B75)*('Daily Data'!$A$4:$A$734&lt;=C75)*'Daily Data'!$P$4:$P$734)</f>
        <v>18640</v>
      </c>
      <c r="G75" s="20">
        <f t="shared" si="4"/>
        <v>0</v>
      </c>
      <c r="H75" t="str">
        <f t="shared" si="5"/>
        <v>▲ Increase</v>
      </c>
      <c r="I75" t="s">
        <v>80</v>
      </c>
    </row>
    <row r="76" spans="1:9" x14ac:dyDescent="0.35">
      <c r="A76">
        <v>73</v>
      </c>
      <c r="B76" s="18">
        <v>45796</v>
      </c>
      <c r="C76" s="18">
        <v>45802</v>
      </c>
      <c r="D76">
        <f>SUMPRODUCT(('Daily Data'!$A$4:$A$734&gt;=B76)*('Daily Data'!$A$4:$A$734&lt;=C76)*'Daily Data'!$D$4:$D$734)</f>
        <v>54</v>
      </c>
      <c r="E76" s="19">
        <f>SUMPRODUCT(('Daily Data'!$A$4:$A$734&gt;=B76)*('Daily Data'!$A$4:$A$734&lt;=C76)*'Daily Data'!$G$4:$G$734)</f>
        <v>27791</v>
      </c>
      <c r="F76" s="19">
        <f>SUMPRODUCT(('Daily Data'!$A$4:$A$734&gt;=B76)*('Daily Data'!$A$4:$A$734&lt;=C76)*'Daily Data'!$P$4:$P$734)</f>
        <v>18640</v>
      </c>
      <c r="G76" s="20">
        <f t="shared" si="4"/>
        <v>0</v>
      </c>
      <c r="H76" t="str">
        <f t="shared" si="5"/>
        <v>▲ Increase</v>
      </c>
      <c r="I76" t="s">
        <v>80</v>
      </c>
    </row>
    <row r="77" spans="1:9" x14ac:dyDescent="0.35">
      <c r="A77">
        <v>74</v>
      </c>
      <c r="B77" s="18">
        <v>45803</v>
      </c>
      <c r="C77" s="18">
        <v>45809</v>
      </c>
      <c r="D77">
        <f>SUMPRODUCT(('Daily Data'!$A$4:$A$734&gt;=B77)*('Daily Data'!$A$4:$A$734&lt;=C77)*'Daily Data'!$D$4:$D$734)</f>
        <v>49</v>
      </c>
      <c r="E77" s="19">
        <f>SUMPRODUCT(('Daily Data'!$A$4:$A$734&gt;=B77)*('Daily Data'!$A$4:$A$734&lt;=C77)*'Daily Data'!$G$4:$G$734)</f>
        <v>27621</v>
      </c>
      <c r="F77" s="19">
        <f>SUMPRODUCT(('Daily Data'!$A$4:$A$734&gt;=B77)*('Daily Data'!$A$4:$A$734&lt;=C77)*'Daily Data'!$P$4:$P$734)</f>
        <v>18488</v>
      </c>
      <c r="G77" s="20">
        <f t="shared" si="4"/>
        <v>-6.1170882659853905E-3</v>
      </c>
      <c r="H77" t="str">
        <f t="shared" si="5"/>
        <v>▼ Decrease</v>
      </c>
      <c r="I77" t="s">
        <v>80</v>
      </c>
    </row>
    <row r="78" spans="1:9" x14ac:dyDescent="0.35">
      <c r="A78">
        <v>75</v>
      </c>
      <c r="B78" s="18">
        <v>45810</v>
      </c>
      <c r="C78" s="18">
        <v>45816</v>
      </c>
      <c r="D78">
        <f>SUMPRODUCT(('Daily Data'!$A$4:$A$734&gt;=B78)*('Daily Data'!$A$4:$A$734&lt;=C78)*'Daily Data'!$D$4:$D$734)</f>
        <v>48</v>
      </c>
      <c r="E78" s="19">
        <f>SUMPRODUCT(('Daily Data'!$A$4:$A$734&gt;=B78)*('Daily Data'!$A$4:$A$734&lt;=C78)*'Daily Data'!$G$4:$G$734)</f>
        <v>24755</v>
      </c>
      <c r="F78" s="19">
        <f>SUMPRODUCT(('Daily Data'!$A$4:$A$734&gt;=B78)*('Daily Data'!$A$4:$A$734&lt;=C78)*'Daily Data'!$P$4:$P$734)</f>
        <v>15537</v>
      </c>
      <c r="G78" s="20">
        <f t="shared" si="4"/>
        <v>-0.10376163064335107</v>
      </c>
      <c r="H78" t="str">
        <f t="shared" si="5"/>
        <v>▼ Decrease</v>
      </c>
      <c r="I78" t="s">
        <v>84</v>
      </c>
    </row>
    <row r="79" spans="1:9" x14ac:dyDescent="0.35">
      <c r="A79">
        <v>76</v>
      </c>
      <c r="B79" s="18">
        <v>45817</v>
      </c>
      <c r="C79" s="18">
        <v>45823</v>
      </c>
      <c r="D79">
        <f>SUMPRODUCT(('Daily Data'!$A$4:$A$734&gt;=B79)*('Daily Data'!$A$4:$A$734&lt;=C79)*'Daily Data'!$D$4:$D$734)</f>
        <v>46</v>
      </c>
      <c r="E79" s="19">
        <f>SUMPRODUCT(('Daily Data'!$A$4:$A$734&gt;=B79)*('Daily Data'!$A$4:$A$734&lt;=C79)*'Daily Data'!$G$4:$G$734)</f>
        <v>25251</v>
      </c>
      <c r="F79" s="19">
        <f>SUMPRODUCT(('Daily Data'!$A$4:$A$734&gt;=B79)*('Daily Data'!$A$4:$A$734&lt;=C79)*'Daily Data'!$P$4:$P$734)</f>
        <v>16037</v>
      </c>
      <c r="G79" s="20">
        <f t="shared" si="4"/>
        <v>2.0036356291658251E-2</v>
      </c>
      <c r="H79" t="str">
        <f t="shared" si="5"/>
        <v>▲ Increase</v>
      </c>
      <c r="I79" t="s">
        <v>84</v>
      </c>
    </row>
    <row r="80" spans="1:9" x14ac:dyDescent="0.35">
      <c r="A80">
        <v>77</v>
      </c>
      <c r="B80" s="18">
        <v>45824</v>
      </c>
      <c r="C80" s="18">
        <v>45830</v>
      </c>
      <c r="D80">
        <f>SUMPRODUCT(('Daily Data'!$A$4:$A$734&gt;=B80)*('Daily Data'!$A$4:$A$734&lt;=C80)*'Daily Data'!$D$4:$D$734)</f>
        <v>46</v>
      </c>
      <c r="E80" s="19">
        <f>SUMPRODUCT(('Daily Data'!$A$4:$A$734&gt;=B80)*('Daily Data'!$A$4:$A$734&lt;=C80)*'Daily Data'!$G$4:$G$734)</f>
        <v>24643</v>
      </c>
      <c r="F80" s="19">
        <f>SUMPRODUCT(('Daily Data'!$A$4:$A$734&gt;=B80)*('Daily Data'!$A$4:$A$734&lt;=C80)*'Daily Data'!$P$4:$P$734)</f>
        <v>15444</v>
      </c>
      <c r="G80" s="20">
        <f t="shared" si="4"/>
        <v>-2.4078254326561323E-2</v>
      </c>
      <c r="H80" t="str">
        <f t="shared" si="5"/>
        <v>▼ Decrease</v>
      </c>
      <c r="I80" t="s">
        <v>84</v>
      </c>
    </row>
    <row r="81" spans="1:9" x14ac:dyDescent="0.35">
      <c r="A81">
        <v>78</v>
      </c>
      <c r="B81" s="18">
        <v>45831</v>
      </c>
      <c r="C81" s="18">
        <v>45837</v>
      </c>
      <c r="D81">
        <f>SUMPRODUCT(('Daily Data'!$A$4:$A$734&gt;=B81)*('Daily Data'!$A$4:$A$734&lt;=C81)*'Daily Data'!$D$4:$D$734)</f>
        <v>46</v>
      </c>
      <c r="E81" s="19">
        <f>SUMPRODUCT(('Daily Data'!$A$4:$A$734&gt;=B81)*('Daily Data'!$A$4:$A$734&lt;=C81)*'Daily Data'!$G$4:$G$734)</f>
        <v>24899</v>
      </c>
      <c r="F81" s="19">
        <f>SUMPRODUCT(('Daily Data'!$A$4:$A$734&gt;=B81)*('Daily Data'!$A$4:$A$734&lt;=C81)*'Daily Data'!$P$4:$P$734)</f>
        <v>15694</v>
      </c>
      <c r="G81" s="20">
        <f t="shared" si="4"/>
        <v>1.0388345574808262E-2</v>
      </c>
      <c r="H81" t="str">
        <f t="shared" si="5"/>
        <v>▲ Increase</v>
      </c>
      <c r="I81" t="s">
        <v>84</v>
      </c>
    </row>
    <row r="82" spans="1:9" x14ac:dyDescent="0.35">
      <c r="A82">
        <v>79</v>
      </c>
      <c r="B82" s="18">
        <v>45838</v>
      </c>
      <c r="C82" s="18">
        <v>45844</v>
      </c>
      <c r="D82">
        <f>SUMPRODUCT(('Daily Data'!$A$4:$A$734&gt;=B82)*('Daily Data'!$A$4:$A$734&lt;=C82)*'Daily Data'!$D$4:$D$734)</f>
        <v>45</v>
      </c>
      <c r="E82" s="19">
        <f>SUMPRODUCT(('Daily Data'!$A$4:$A$734&gt;=B82)*('Daily Data'!$A$4:$A$734&lt;=C82)*'Daily Data'!$G$4:$G$734)</f>
        <v>23059</v>
      </c>
      <c r="F82" s="19">
        <f>SUMPRODUCT(('Daily Data'!$A$4:$A$734&gt;=B82)*('Daily Data'!$A$4:$A$734&lt;=C82)*'Daily Data'!$P$4:$P$734)</f>
        <v>14189</v>
      </c>
      <c r="G82" s="20">
        <f t="shared" si="4"/>
        <v>-7.3898550142576014E-2</v>
      </c>
      <c r="H82" t="str">
        <f t="shared" si="5"/>
        <v>▼ Decrease</v>
      </c>
      <c r="I82" t="s">
        <v>84</v>
      </c>
    </row>
    <row r="83" spans="1:9" x14ac:dyDescent="0.35">
      <c r="A83">
        <v>80</v>
      </c>
      <c r="B83" s="18">
        <v>45845</v>
      </c>
      <c r="C83" s="18">
        <v>45851</v>
      </c>
      <c r="D83">
        <f>SUMPRODUCT(('Daily Data'!$A$4:$A$734&gt;=B83)*('Daily Data'!$A$4:$A$734&lt;=C83)*'Daily Data'!$D$4:$D$734)</f>
        <v>44</v>
      </c>
      <c r="E83" s="19">
        <f>SUMPRODUCT(('Daily Data'!$A$4:$A$734&gt;=B83)*('Daily Data'!$A$4:$A$734&lt;=C83)*'Daily Data'!$G$4:$G$734)</f>
        <v>23061</v>
      </c>
      <c r="F83" s="19">
        <f>SUMPRODUCT(('Daily Data'!$A$4:$A$734&gt;=B83)*('Daily Data'!$A$4:$A$734&lt;=C83)*'Daily Data'!$P$4:$P$734)</f>
        <v>14250</v>
      </c>
      <c r="G83" s="20">
        <f t="shared" si="4"/>
        <v>8.6734030096708437E-5</v>
      </c>
      <c r="H83" t="str">
        <f t="shared" si="5"/>
        <v>▲ Increase</v>
      </c>
      <c r="I83" t="s">
        <v>84</v>
      </c>
    </row>
    <row r="84" spans="1:9" x14ac:dyDescent="0.35">
      <c r="A84">
        <v>81</v>
      </c>
      <c r="B84" s="18">
        <v>45852</v>
      </c>
      <c r="C84" s="18">
        <v>45858</v>
      </c>
      <c r="D84">
        <f>SUMPRODUCT(('Daily Data'!$A$4:$A$734&gt;=B84)*('Daily Data'!$A$4:$A$734&lt;=C84)*'Daily Data'!$D$4:$D$734)</f>
        <v>44</v>
      </c>
      <c r="E84" s="19">
        <f>SUMPRODUCT(('Daily Data'!$A$4:$A$734&gt;=B84)*('Daily Data'!$A$4:$A$734&lt;=C84)*'Daily Data'!$G$4:$G$734)</f>
        <v>23438</v>
      </c>
      <c r="F84" s="19">
        <f>SUMPRODUCT(('Daily Data'!$A$4:$A$734&gt;=B84)*('Daily Data'!$A$4:$A$734&lt;=C84)*'Daily Data'!$P$4:$P$734)</f>
        <v>14618</v>
      </c>
      <c r="G84" s="20">
        <f t="shared" si="4"/>
        <v>1.6347946749924114E-2</v>
      </c>
      <c r="H84" t="str">
        <f t="shared" si="5"/>
        <v>▲ Increase</v>
      </c>
      <c r="I84" t="s">
        <v>84</v>
      </c>
    </row>
    <row r="85" spans="1:9" x14ac:dyDescent="0.35">
      <c r="A85">
        <v>82</v>
      </c>
      <c r="B85" s="18">
        <v>45859</v>
      </c>
      <c r="C85" s="18">
        <v>45865</v>
      </c>
      <c r="D85">
        <f>SUMPRODUCT(('Daily Data'!$A$4:$A$734&gt;=B85)*('Daily Data'!$A$4:$A$734&lt;=C85)*'Daily Data'!$D$4:$D$734)</f>
        <v>43</v>
      </c>
      <c r="E85" s="19">
        <f>SUMPRODUCT(('Daily Data'!$A$4:$A$734&gt;=B85)*('Daily Data'!$A$4:$A$734&lt;=C85)*'Daily Data'!$G$4:$G$734)</f>
        <v>22771</v>
      </c>
      <c r="F85" s="19">
        <f>SUMPRODUCT(('Daily Data'!$A$4:$A$734&gt;=B85)*('Daily Data'!$A$4:$A$734&lt;=C85)*'Daily Data'!$P$4:$P$734)</f>
        <v>13975</v>
      </c>
      <c r="G85" s="20">
        <f t="shared" si="4"/>
        <v>-2.8458059561396024E-2</v>
      </c>
      <c r="H85" t="str">
        <f t="shared" si="5"/>
        <v>▼ Decrease</v>
      </c>
      <c r="I85" t="s">
        <v>84</v>
      </c>
    </row>
    <row r="86" spans="1:9" x14ac:dyDescent="0.35">
      <c r="A86">
        <v>83</v>
      </c>
      <c r="B86" s="18">
        <v>45866</v>
      </c>
      <c r="C86" s="18">
        <v>45872</v>
      </c>
      <c r="D86">
        <f>SUMPRODUCT(('Daily Data'!$A$4:$A$734&gt;=B86)*('Daily Data'!$A$4:$A$734&lt;=C86)*'Daily Data'!$D$4:$D$734)</f>
        <v>43</v>
      </c>
      <c r="E86" s="19">
        <f>SUMPRODUCT(('Daily Data'!$A$4:$A$734&gt;=B86)*('Daily Data'!$A$4:$A$734&lt;=C86)*'Daily Data'!$G$4:$G$734)</f>
        <v>22907</v>
      </c>
      <c r="F86" s="19">
        <f>SUMPRODUCT(('Daily Data'!$A$4:$A$734&gt;=B86)*('Daily Data'!$A$4:$A$734&lt;=C86)*'Daily Data'!$P$4:$P$734)</f>
        <v>14107</v>
      </c>
      <c r="G86" s="20">
        <f t="shared" si="4"/>
        <v>5.9725088928900792E-3</v>
      </c>
      <c r="H86" t="str">
        <f t="shared" si="5"/>
        <v>▲ Increase</v>
      </c>
      <c r="I86" t="s">
        <v>84</v>
      </c>
    </row>
    <row r="87" spans="1:9" x14ac:dyDescent="0.35">
      <c r="A87">
        <v>84</v>
      </c>
      <c r="B87" s="18">
        <v>45873</v>
      </c>
      <c r="C87" s="18">
        <v>45879</v>
      </c>
      <c r="D87">
        <f>SUMPRODUCT(('Daily Data'!$A$4:$A$734&gt;=B87)*('Daily Data'!$A$4:$A$734&lt;=C87)*'Daily Data'!$D$4:$D$734)</f>
        <v>44</v>
      </c>
      <c r="E87" s="19">
        <f>SUMPRODUCT(('Daily Data'!$A$4:$A$734&gt;=B87)*('Daily Data'!$A$4:$A$734&lt;=C87)*'Daily Data'!$G$4:$G$734)</f>
        <v>22875</v>
      </c>
      <c r="F87" s="19">
        <f>SUMPRODUCT(('Daily Data'!$A$4:$A$734&gt;=B87)*('Daily Data'!$A$4:$A$734&lt;=C87)*'Daily Data'!$P$4:$P$734)</f>
        <v>14066</v>
      </c>
      <c r="G87" s="20">
        <f t="shared" si="4"/>
        <v>-1.3969528964945213E-3</v>
      </c>
      <c r="H87" t="str">
        <f t="shared" si="5"/>
        <v>▼ Decrease</v>
      </c>
      <c r="I87" t="s">
        <v>84</v>
      </c>
    </row>
    <row r="88" spans="1:9" x14ac:dyDescent="0.35">
      <c r="A88">
        <v>85</v>
      </c>
      <c r="B88" s="18">
        <v>45880</v>
      </c>
      <c r="C88" s="18">
        <v>45886</v>
      </c>
      <c r="D88">
        <f>SUMPRODUCT(('Daily Data'!$A$4:$A$734&gt;=B88)*('Daily Data'!$A$4:$A$734&lt;=C88)*'Daily Data'!$D$4:$D$734)</f>
        <v>43</v>
      </c>
      <c r="E88" s="19">
        <f>SUMPRODUCT(('Daily Data'!$A$4:$A$734&gt;=B88)*('Daily Data'!$A$4:$A$734&lt;=C88)*'Daily Data'!$G$4:$G$734)</f>
        <v>22784</v>
      </c>
      <c r="F88" s="19">
        <f>SUMPRODUCT(('Daily Data'!$A$4:$A$734&gt;=B88)*('Daily Data'!$A$4:$A$734&lt;=C88)*'Daily Data'!$P$4:$P$734)</f>
        <v>13988</v>
      </c>
      <c r="G88" s="20">
        <f t="shared" si="4"/>
        <v>-3.9781420765027326E-3</v>
      </c>
      <c r="H88" t="str">
        <f t="shared" si="5"/>
        <v>▼ Decrease</v>
      </c>
      <c r="I88" t="s">
        <v>84</v>
      </c>
    </row>
    <row r="89" spans="1:9" x14ac:dyDescent="0.35">
      <c r="A89">
        <v>86</v>
      </c>
      <c r="B89" s="18">
        <v>45887</v>
      </c>
      <c r="C89" s="18">
        <v>45893</v>
      </c>
      <c r="D89">
        <f>SUMPRODUCT(('Daily Data'!$A$4:$A$734&gt;=B89)*('Daily Data'!$A$4:$A$734&lt;=C89)*'Daily Data'!$D$4:$D$734)</f>
        <v>46</v>
      </c>
      <c r="E89" s="19">
        <f>SUMPRODUCT(('Daily Data'!$A$4:$A$734&gt;=B89)*('Daily Data'!$A$4:$A$734&lt;=C89)*'Daily Data'!$G$4:$G$734)</f>
        <v>23793</v>
      </c>
      <c r="F89" s="19">
        <f>SUMPRODUCT(('Daily Data'!$A$4:$A$734&gt;=B89)*('Daily Data'!$A$4:$A$734&lt;=C89)*'Daily Data'!$P$4:$P$734)</f>
        <v>14947</v>
      </c>
      <c r="G89" s="20">
        <f t="shared" si="4"/>
        <v>4.4285463483146069E-2</v>
      </c>
      <c r="H89" t="str">
        <f t="shared" si="5"/>
        <v>▲ Increase</v>
      </c>
      <c r="I89" t="s">
        <v>84</v>
      </c>
    </row>
    <row r="90" spans="1:9" x14ac:dyDescent="0.35">
      <c r="A90">
        <v>87</v>
      </c>
      <c r="B90" s="18">
        <v>45894</v>
      </c>
      <c r="C90" s="18">
        <v>45900</v>
      </c>
      <c r="D90">
        <f>SUMPRODUCT(('Daily Data'!$A$4:$A$734&gt;=B90)*('Daily Data'!$A$4:$A$734&lt;=C90)*'Daily Data'!$D$4:$D$734)</f>
        <v>45</v>
      </c>
      <c r="E90" s="19">
        <f>SUMPRODUCT(('Daily Data'!$A$4:$A$734&gt;=B90)*('Daily Data'!$A$4:$A$734&lt;=C90)*'Daily Data'!$G$4:$G$734)</f>
        <v>23199</v>
      </c>
      <c r="F90" s="19">
        <f>SUMPRODUCT(('Daily Data'!$A$4:$A$734&gt;=B90)*('Daily Data'!$A$4:$A$734&lt;=C90)*'Daily Data'!$P$4:$P$734)</f>
        <v>14376</v>
      </c>
      <c r="G90" s="20">
        <f t="shared" si="4"/>
        <v>-2.4965325936199722E-2</v>
      </c>
      <c r="H90" t="str">
        <f t="shared" si="5"/>
        <v>▼ Decrease</v>
      </c>
      <c r="I90" t="s">
        <v>84</v>
      </c>
    </row>
    <row r="91" spans="1:9" x14ac:dyDescent="0.35">
      <c r="A91">
        <v>88</v>
      </c>
      <c r="B91" s="18">
        <v>45901</v>
      </c>
      <c r="C91" s="18">
        <v>45907</v>
      </c>
      <c r="D91">
        <f>SUMPRODUCT(('Daily Data'!$A$4:$A$734&gt;=B91)*('Daily Data'!$A$4:$A$734&lt;=C91)*'Daily Data'!$D$4:$D$734)</f>
        <v>48</v>
      </c>
      <c r="E91" s="19">
        <f>SUMPRODUCT(('Daily Data'!$A$4:$A$734&gt;=B91)*('Daily Data'!$A$4:$A$734&lt;=C91)*'Daily Data'!$G$4:$G$734)</f>
        <v>25415</v>
      </c>
      <c r="F91" s="19">
        <f>SUMPRODUCT(('Daily Data'!$A$4:$A$734&gt;=B91)*('Daily Data'!$A$4:$A$734&lt;=C91)*'Daily Data'!$P$4:$P$734)</f>
        <v>16253</v>
      </c>
      <c r="G91" s="20">
        <f t="shared" si="4"/>
        <v>9.5521358679253418E-2</v>
      </c>
      <c r="H91" t="str">
        <f t="shared" si="5"/>
        <v>▲ Increase</v>
      </c>
      <c r="I91" t="s">
        <v>84</v>
      </c>
    </row>
    <row r="92" spans="1:9" x14ac:dyDescent="0.35">
      <c r="A92">
        <v>89</v>
      </c>
      <c r="B92" s="18">
        <v>45908</v>
      </c>
      <c r="C92" s="18">
        <v>45914</v>
      </c>
      <c r="D92">
        <f>SUMPRODUCT(('Daily Data'!$A$4:$A$734&gt;=B92)*('Daily Data'!$A$4:$A$734&lt;=C92)*'Daily Data'!$D$4:$D$734)</f>
        <v>45</v>
      </c>
      <c r="E92" s="19">
        <f>SUMPRODUCT(('Daily Data'!$A$4:$A$734&gt;=B92)*('Daily Data'!$A$4:$A$734&lt;=C92)*'Daily Data'!$G$4:$G$734)</f>
        <v>24484</v>
      </c>
      <c r="F92" s="19">
        <f>SUMPRODUCT(('Daily Data'!$A$4:$A$734&gt;=B92)*('Daily Data'!$A$4:$A$734&lt;=C92)*'Daily Data'!$P$4:$P$734)</f>
        <v>15365</v>
      </c>
      <c r="G92" s="20">
        <f t="shared" si="4"/>
        <v>-3.6631910289199293E-2</v>
      </c>
      <c r="H92" t="str">
        <f t="shared" si="5"/>
        <v>▼ Decrease</v>
      </c>
      <c r="I92" t="s">
        <v>84</v>
      </c>
    </row>
    <row r="93" spans="1:9" x14ac:dyDescent="0.35">
      <c r="A93">
        <v>90</v>
      </c>
      <c r="B93" s="18">
        <v>45915</v>
      </c>
      <c r="C93" s="18">
        <v>45921</v>
      </c>
      <c r="D93">
        <f>SUMPRODUCT(('Daily Data'!$A$4:$A$734&gt;=B93)*('Daily Data'!$A$4:$A$734&lt;=C93)*'Daily Data'!$D$4:$D$734)</f>
        <v>48</v>
      </c>
      <c r="E93" s="19">
        <f>SUMPRODUCT(('Daily Data'!$A$4:$A$734&gt;=B93)*('Daily Data'!$A$4:$A$734&lt;=C93)*'Daily Data'!$G$4:$G$734)</f>
        <v>25061</v>
      </c>
      <c r="F93" s="19">
        <f>SUMPRODUCT(('Daily Data'!$A$4:$A$734&gt;=B93)*('Daily Data'!$A$4:$A$734&lt;=C93)*'Daily Data'!$P$4:$P$734)</f>
        <v>15907</v>
      </c>
      <c r="G93" s="20">
        <f t="shared" si="4"/>
        <v>2.3566410717203071E-2</v>
      </c>
      <c r="H93" t="str">
        <f t="shared" si="5"/>
        <v>▲ Increase</v>
      </c>
      <c r="I93" t="s">
        <v>84</v>
      </c>
    </row>
    <row r="94" spans="1:9" x14ac:dyDescent="0.35">
      <c r="A94">
        <v>91</v>
      </c>
      <c r="B94" s="18">
        <v>45922</v>
      </c>
      <c r="C94" s="18">
        <v>45928</v>
      </c>
      <c r="D94">
        <f>SUMPRODUCT(('Daily Data'!$A$4:$A$734&gt;=B94)*('Daily Data'!$A$4:$A$734&lt;=C94)*'Daily Data'!$D$4:$D$734)</f>
        <v>45</v>
      </c>
      <c r="E94" s="19">
        <f>SUMPRODUCT(('Daily Data'!$A$4:$A$734&gt;=B94)*('Daily Data'!$A$4:$A$734&lt;=C94)*'Daily Data'!$G$4:$G$734)</f>
        <v>24354</v>
      </c>
      <c r="F94" s="19">
        <f>SUMPRODUCT(('Daily Data'!$A$4:$A$734&gt;=B94)*('Daily Data'!$A$4:$A$734&lt;=C94)*'Daily Data'!$P$4:$P$734)</f>
        <v>15239</v>
      </c>
      <c r="G94" s="20">
        <f t="shared" si="4"/>
        <v>-2.8211164757990504E-2</v>
      </c>
      <c r="H94" t="str">
        <f t="shared" si="5"/>
        <v>▼ Decrease</v>
      </c>
      <c r="I94" t="s">
        <v>84</v>
      </c>
    </row>
    <row r="95" spans="1:9" x14ac:dyDescent="0.35">
      <c r="A95">
        <v>92</v>
      </c>
      <c r="B95" s="18">
        <v>45929</v>
      </c>
      <c r="C95" s="18">
        <v>45935</v>
      </c>
      <c r="D95">
        <f>SUMPRODUCT(('Daily Data'!$A$4:$A$734&gt;=B95)*('Daily Data'!$A$4:$A$734&lt;=C95)*'Daily Data'!$D$4:$D$734)</f>
        <v>52</v>
      </c>
      <c r="E95" s="19">
        <f>SUMPRODUCT(('Daily Data'!$A$4:$A$734&gt;=B95)*('Daily Data'!$A$4:$A$734&lt;=C95)*'Daily Data'!$G$4:$G$734)</f>
        <v>26548</v>
      </c>
      <c r="F95" s="19">
        <f>SUMPRODUCT(('Daily Data'!$A$4:$A$734&gt;=B95)*('Daily Data'!$A$4:$A$734&lt;=C95)*'Daily Data'!$P$4:$P$734)</f>
        <v>17504</v>
      </c>
      <c r="G95" s="20">
        <f t="shared" si="4"/>
        <v>9.0087870575675452E-2</v>
      </c>
      <c r="H95" t="str">
        <f t="shared" si="5"/>
        <v>▲ Increase</v>
      </c>
      <c r="I95" t="s">
        <v>63</v>
      </c>
    </row>
    <row r="96" spans="1:9" x14ac:dyDescent="0.35">
      <c r="A96">
        <v>93</v>
      </c>
      <c r="B96" s="18">
        <v>45936</v>
      </c>
      <c r="C96" s="18">
        <v>45942</v>
      </c>
      <c r="D96">
        <f>SUMPRODUCT(('Daily Data'!$A$4:$A$734&gt;=B96)*('Daily Data'!$A$4:$A$734&lt;=C96)*'Daily Data'!$D$4:$D$734)</f>
        <v>54</v>
      </c>
      <c r="E96" s="19">
        <f>SUMPRODUCT(('Daily Data'!$A$4:$A$734&gt;=B96)*('Daily Data'!$A$4:$A$734&lt;=C96)*'Daily Data'!$G$4:$G$734)</f>
        <v>28457</v>
      </c>
      <c r="F96" s="19">
        <f>SUMPRODUCT(('Daily Data'!$A$4:$A$734&gt;=B96)*('Daily Data'!$A$4:$A$734&lt;=C96)*'Daily Data'!$P$4:$P$734)</f>
        <v>19424</v>
      </c>
      <c r="G96" s="20">
        <f t="shared" si="4"/>
        <v>7.1907488323037519E-2</v>
      </c>
      <c r="H96" t="str">
        <f t="shared" si="5"/>
        <v>▲ Increase</v>
      </c>
      <c r="I96" t="s">
        <v>63</v>
      </c>
    </row>
    <row r="97" spans="1:9" x14ac:dyDescent="0.35">
      <c r="A97">
        <v>94</v>
      </c>
      <c r="B97" s="18">
        <v>45943</v>
      </c>
      <c r="C97" s="18">
        <v>45949</v>
      </c>
      <c r="D97">
        <f>SUMPRODUCT(('Daily Data'!$A$4:$A$734&gt;=B97)*('Daily Data'!$A$4:$A$734&lt;=C97)*'Daily Data'!$D$4:$D$734)</f>
        <v>52</v>
      </c>
      <c r="E97" s="19">
        <f>SUMPRODUCT(('Daily Data'!$A$4:$A$734&gt;=B97)*('Daily Data'!$A$4:$A$734&lt;=C97)*'Daily Data'!$G$4:$G$734)</f>
        <v>28011</v>
      </c>
      <c r="F97" s="19">
        <f>SUMPRODUCT(('Daily Data'!$A$4:$A$734&gt;=B97)*('Daily Data'!$A$4:$A$734&lt;=C97)*'Daily Data'!$P$4:$P$734)</f>
        <v>19004</v>
      </c>
      <c r="G97" s="20">
        <f t="shared" si="4"/>
        <v>-1.5672769441613662E-2</v>
      </c>
      <c r="H97" t="str">
        <f t="shared" si="5"/>
        <v>▼ Decrease</v>
      </c>
      <c r="I97" t="s">
        <v>63</v>
      </c>
    </row>
    <row r="98" spans="1:9" x14ac:dyDescent="0.35">
      <c r="A98">
        <v>95</v>
      </c>
      <c r="B98" s="18">
        <v>45950</v>
      </c>
      <c r="C98" s="18">
        <v>45956</v>
      </c>
      <c r="D98">
        <f>SUMPRODUCT(('Daily Data'!$A$4:$A$734&gt;=B98)*('Daily Data'!$A$4:$A$734&lt;=C98)*'Daily Data'!$D$4:$D$734)</f>
        <v>53</v>
      </c>
      <c r="E98" s="19">
        <f>SUMPRODUCT(('Daily Data'!$A$4:$A$734&gt;=B98)*('Daily Data'!$A$4:$A$734&lt;=C98)*'Daily Data'!$G$4:$G$734)</f>
        <v>27519</v>
      </c>
      <c r="F98" s="19">
        <f>SUMPRODUCT(('Daily Data'!$A$4:$A$734&gt;=B98)*('Daily Data'!$A$4:$A$734&lt;=C98)*'Daily Data'!$P$4:$P$734)</f>
        <v>18515</v>
      </c>
      <c r="G98" s="20">
        <f t="shared" si="4"/>
        <v>-1.7564528221056013E-2</v>
      </c>
      <c r="H98" t="str">
        <f t="shared" si="5"/>
        <v>▼ Decrease</v>
      </c>
      <c r="I98" t="s">
        <v>63</v>
      </c>
    </row>
    <row r="99" spans="1:9" x14ac:dyDescent="0.35">
      <c r="A99">
        <v>96</v>
      </c>
      <c r="B99" s="18">
        <v>45957</v>
      </c>
      <c r="C99" s="18">
        <v>45963</v>
      </c>
      <c r="D99">
        <f>SUMPRODUCT(('Daily Data'!$A$4:$A$734&gt;=B99)*('Daily Data'!$A$4:$A$734&lt;=C99)*'Daily Data'!$D$4:$D$734)</f>
        <v>54</v>
      </c>
      <c r="E99" s="19">
        <f>SUMPRODUCT(('Daily Data'!$A$4:$A$734&gt;=B99)*('Daily Data'!$A$4:$A$734&lt;=C99)*'Daily Data'!$G$4:$G$734)</f>
        <v>28540</v>
      </c>
      <c r="F99" s="19">
        <f>SUMPRODUCT(('Daily Data'!$A$4:$A$734&gt;=B99)*('Daily Data'!$A$4:$A$734&lt;=C99)*'Daily Data'!$P$4:$P$734)</f>
        <v>19415</v>
      </c>
      <c r="G99" s="20">
        <f t="shared" si="4"/>
        <v>3.7101638867691411E-2</v>
      </c>
      <c r="H99" t="str">
        <f t="shared" si="5"/>
        <v>▲ Increase</v>
      </c>
      <c r="I99" t="s">
        <v>63</v>
      </c>
    </row>
    <row r="100" spans="1:9" x14ac:dyDescent="0.35">
      <c r="A100">
        <v>97</v>
      </c>
      <c r="B100" s="18">
        <v>45964</v>
      </c>
      <c r="C100" s="18">
        <v>45970</v>
      </c>
      <c r="D100">
        <f>SUMPRODUCT(('Daily Data'!$A$4:$A$734&gt;=B100)*('Daily Data'!$A$4:$A$734&lt;=C100)*'Daily Data'!$D$4:$D$734)</f>
        <v>58</v>
      </c>
      <c r="E100" s="19">
        <f>SUMPRODUCT(('Daily Data'!$A$4:$A$734&gt;=B100)*('Daily Data'!$A$4:$A$734&lt;=C100)*'Daily Data'!$G$4:$G$734)</f>
        <v>30210</v>
      </c>
      <c r="F100" s="19">
        <f>SUMPRODUCT(('Daily Data'!$A$4:$A$734&gt;=B100)*('Daily Data'!$A$4:$A$734&lt;=C100)*'Daily Data'!$P$4:$P$734)</f>
        <v>20791</v>
      </c>
      <c r="G100" s="20">
        <f t="shared" si="4"/>
        <v>5.8514365802382617E-2</v>
      </c>
      <c r="H100" t="str">
        <f t="shared" si="5"/>
        <v>▲ Increase</v>
      </c>
      <c r="I100" t="s">
        <v>63</v>
      </c>
    </row>
    <row r="101" spans="1:9" x14ac:dyDescent="0.35">
      <c r="A101">
        <v>98</v>
      </c>
      <c r="B101" s="18">
        <v>45971</v>
      </c>
      <c r="C101" s="18">
        <v>45977</v>
      </c>
      <c r="D101">
        <f>SUMPRODUCT(('Daily Data'!$A$4:$A$734&gt;=B101)*('Daily Data'!$A$4:$A$734&lt;=C101)*'Daily Data'!$D$4:$D$734)</f>
        <v>56</v>
      </c>
      <c r="E101" s="19">
        <f>SUMPRODUCT(('Daily Data'!$A$4:$A$734&gt;=B101)*('Daily Data'!$A$4:$A$734&lt;=C101)*'Daily Data'!$G$4:$G$734)</f>
        <v>29774</v>
      </c>
      <c r="F101" s="19">
        <f>SUMPRODUCT(('Daily Data'!$A$4:$A$734&gt;=B101)*('Daily Data'!$A$4:$A$734&lt;=C101)*'Daily Data'!$P$4:$P$734)</f>
        <v>20380</v>
      </c>
      <c r="G101" s="20">
        <f t="shared" ref="G101:G108" si="6">IF(E100=0,0,(E101-E100)/E100)</f>
        <v>-1.443230718305197E-2</v>
      </c>
      <c r="H101" t="str">
        <f t="shared" ref="H101:H108" si="7">IF(E101&gt;=E100,"▲ Increase","▼ Decrease")</f>
        <v>▼ Decrease</v>
      </c>
      <c r="I101" t="s">
        <v>63</v>
      </c>
    </row>
    <row r="102" spans="1:9" x14ac:dyDescent="0.35">
      <c r="A102">
        <v>99</v>
      </c>
      <c r="B102" s="18">
        <v>45978</v>
      </c>
      <c r="C102" s="18">
        <v>45984</v>
      </c>
      <c r="D102">
        <f>SUMPRODUCT(('Daily Data'!$A$4:$A$734&gt;=B102)*('Daily Data'!$A$4:$A$734&lt;=C102)*'Daily Data'!$D$4:$D$734)</f>
        <v>54</v>
      </c>
      <c r="E102" s="19">
        <f>SUMPRODUCT(('Daily Data'!$A$4:$A$734&gt;=B102)*('Daily Data'!$A$4:$A$734&lt;=C102)*'Daily Data'!$G$4:$G$734)</f>
        <v>28890</v>
      </c>
      <c r="F102" s="19">
        <f>SUMPRODUCT(('Daily Data'!$A$4:$A$734&gt;=B102)*('Daily Data'!$A$4:$A$734&lt;=C102)*'Daily Data'!$P$4:$P$734)</f>
        <v>19532</v>
      </c>
      <c r="G102" s="20">
        <f t="shared" si="6"/>
        <v>-2.9690333848324042E-2</v>
      </c>
      <c r="H102" t="str">
        <f t="shared" si="7"/>
        <v>▼ Decrease</v>
      </c>
      <c r="I102" t="s">
        <v>63</v>
      </c>
    </row>
    <row r="103" spans="1:9" x14ac:dyDescent="0.35">
      <c r="A103">
        <v>100</v>
      </c>
      <c r="B103" s="18">
        <v>45985</v>
      </c>
      <c r="C103" s="18">
        <v>45991</v>
      </c>
      <c r="D103">
        <f>SUMPRODUCT(('Daily Data'!$A$4:$A$734&gt;=B103)*('Daily Data'!$A$4:$A$734&lt;=C103)*'Daily Data'!$D$4:$D$734)</f>
        <v>55</v>
      </c>
      <c r="E103" s="19">
        <f>SUMPRODUCT(('Daily Data'!$A$4:$A$734&gt;=B103)*('Daily Data'!$A$4:$A$734&lt;=C103)*'Daily Data'!$G$4:$G$734)</f>
        <v>28990</v>
      </c>
      <c r="F103" s="19">
        <f>SUMPRODUCT(('Daily Data'!$A$4:$A$734&gt;=B103)*('Daily Data'!$A$4:$A$734&lt;=C103)*'Daily Data'!$P$4:$P$734)</f>
        <v>19624</v>
      </c>
      <c r="G103" s="20">
        <f t="shared" si="6"/>
        <v>3.4614053305642091E-3</v>
      </c>
      <c r="H103" t="str">
        <f t="shared" si="7"/>
        <v>▲ Increase</v>
      </c>
      <c r="I103" t="s">
        <v>63</v>
      </c>
    </row>
    <row r="104" spans="1:9" x14ac:dyDescent="0.35">
      <c r="A104">
        <v>101</v>
      </c>
      <c r="B104" s="18">
        <v>45992</v>
      </c>
      <c r="C104" s="18">
        <v>45998</v>
      </c>
      <c r="D104">
        <f>SUMPRODUCT(('Daily Data'!$A$4:$A$734&gt;=B104)*('Daily Data'!$A$4:$A$734&lt;=C104)*'Daily Data'!$D$4:$D$734)</f>
        <v>84</v>
      </c>
      <c r="E104" s="19">
        <f>SUMPRODUCT(('Daily Data'!$A$4:$A$734&gt;=B104)*('Daily Data'!$A$4:$A$734&lt;=C104)*'Daily Data'!$G$4:$G$734)</f>
        <v>44749</v>
      </c>
      <c r="F104" s="19">
        <f>SUMPRODUCT(('Daily Data'!$A$4:$A$734&gt;=B104)*('Daily Data'!$A$4:$A$734&lt;=C104)*'Daily Data'!$P$4:$P$734)</f>
        <v>34620</v>
      </c>
      <c r="G104" s="20">
        <f t="shared" si="6"/>
        <v>0.54360124180751979</v>
      </c>
      <c r="H104" t="str">
        <f t="shared" si="7"/>
        <v>▲ Increase</v>
      </c>
      <c r="I104" t="s">
        <v>80</v>
      </c>
    </row>
    <row r="105" spans="1:9" x14ac:dyDescent="0.35">
      <c r="A105">
        <v>102</v>
      </c>
      <c r="B105" s="18">
        <v>45999</v>
      </c>
      <c r="C105" s="18">
        <v>46005</v>
      </c>
      <c r="D105">
        <f>SUMPRODUCT(('Daily Data'!$A$4:$A$734&gt;=B105)*('Daily Data'!$A$4:$A$734&lt;=C105)*'Daily Data'!$D$4:$D$734)</f>
        <v>87</v>
      </c>
      <c r="E105" s="19">
        <f>SUMPRODUCT(('Daily Data'!$A$4:$A$734&gt;=B105)*('Daily Data'!$A$4:$A$734&lt;=C105)*'Daily Data'!$G$4:$G$734)</f>
        <v>45633</v>
      </c>
      <c r="F105" s="19">
        <f>SUMPRODUCT(('Daily Data'!$A$4:$A$734&gt;=B105)*('Daily Data'!$A$4:$A$734&lt;=C105)*'Daily Data'!$P$4:$P$734)</f>
        <v>35460</v>
      </c>
      <c r="G105" s="20">
        <f t="shared" si="6"/>
        <v>1.9754631388410913E-2</v>
      </c>
      <c r="H105" t="str">
        <f t="shared" si="7"/>
        <v>▲ Increase</v>
      </c>
      <c r="I105" t="s">
        <v>80</v>
      </c>
    </row>
    <row r="106" spans="1:9" x14ac:dyDescent="0.35">
      <c r="A106">
        <v>103</v>
      </c>
      <c r="B106" s="18">
        <v>46006</v>
      </c>
      <c r="C106" s="18">
        <v>46012</v>
      </c>
      <c r="D106">
        <f>SUMPRODUCT(('Daily Data'!$A$4:$A$734&gt;=B106)*('Daily Data'!$A$4:$A$734&lt;=C106)*'Daily Data'!$D$4:$D$734)</f>
        <v>142</v>
      </c>
      <c r="E106" s="19">
        <f>SUMPRODUCT(('Daily Data'!$A$4:$A$734&gt;=B106)*('Daily Data'!$A$4:$A$734&lt;=C106)*'Daily Data'!$G$4:$G$734)</f>
        <v>75448</v>
      </c>
      <c r="F106" s="19">
        <f>SUMPRODUCT(('Daily Data'!$A$4:$A$734&gt;=B106)*('Daily Data'!$A$4:$A$734&lt;=C106)*'Daily Data'!$P$4:$P$734)</f>
        <v>64170</v>
      </c>
      <c r="G106" s="20">
        <f t="shared" si="6"/>
        <v>0.6533648894440427</v>
      </c>
      <c r="H106" t="str">
        <f t="shared" si="7"/>
        <v>▲ Increase</v>
      </c>
      <c r="I106" t="s">
        <v>80</v>
      </c>
    </row>
    <row r="107" spans="1:9" x14ac:dyDescent="0.35">
      <c r="A107">
        <v>104</v>
      </c>
      <c r="B107" s="18">
        <v>46013</v>
      </c>
      <c r="C107" s="18">
        <v>46019</v>
      </c>
      <c r="D107">
        <f>SUMPRODUCT(('Daily Data'!$A$4:$A$734&gt;=B107)*('Daily Data'!$A$4:$A$734&lt;=C107)*'Daily Data'!$D$4:$D$734)</f>
        <v>146</v>
      </c>
      <c r="E107" s="19">
        <f>SUMPRODUCT(('Daily Data'!$A$4:$A$734&gt;=B107)*('Daily Data'!$A$4:$A$734&lt;=C107)*'Daily Data'!$G$4:$G$734)</f>
        <v>78168</v>
      </c>
      <c r="F107" s="19">
        <f>SUMPRODUCT(('Daily Data'!$A$4:$A$734&gt;=B107)*('Daily Data'!$A$4:$A$734&lt;=C107)*'Daily Data'!$P$4:$P$734)</f>
        <v>66799</v>
      </c>
      <c r="G107" s="20">
        <f t="shared" si="6"/>
        <v>3.6051320114515957E-2</v>
      </c>
      <c r="H107" t="str">
        <f t="shared" si="7"/>
        <v>▲ Increase</v>
      </c>
      <c r="I107" t="s">
        <v>80</v>
      </c>
    </row>
    <row r="108" spans="1:9" x14ac:dyDescent="0.35">
      <c r="A108">
        <v>105</v>
      </c>
      <c r="B108" s="18">
        <v>46020</v>
      </c>
      <c r="C108" s="18">
        <v>46022</v>
      </c>
      <c r="D108">
        <f>SUMPRODUCT(('Daily Data'!$A$4:$A$734&gt;=B108)*('Daily Data'!$A$4:$A$734&lt;=C108)*'Daily Data'!$D$4:$D$734)</f>
        <v>59</v>
      </c>
      <c r="E108" s="19">
        <f>SUMPRODUCT(('Daily Data'!$A$4:$A$734&gt;=B108)*('Daily Data'!$A$4:$A$734&lt;=C108)*'Daily Data'!$G$4:$G$734)</f>
        <v>31625</v>
      </c>
      <c r="F108" s="19">
        <f>SUMPRODUCT(('Daily Data'!$A$4:$A$734&gt;=B108)*('Daily Data'!$A$4:$A$734&lt;=C108)*'Daily Data'!$P$4:$P$734)</f>
        <v>26822</v>
      </c>
      <c r="G108" s="20">
        <f t="shared" si="6"/>
        <v>-0.59542267935728177</v>
      </c>
      <c r="H108" t="str">
        <f t="shared" si="7"/>
        <v>▼ Decrease</v>
      </c>
      <c r="I108" t="s">
        <v>63</v>
      </c>
    </row>
  </sheetData>
  <mergeCells count="2">
    <mergeCell ref="A1:I1"/>
    <mergeCell ref="A2:I2"/>
  </mergeCells>
  <conditionalFormatting sqref="F4:F108">
    <cfRule type="cellIs" dxfId="29" priority="8" operator="lessThan">
      <formula>0</formula>
    </cfRule>
  </conditionalFormatting>
  <conditionalFormatting sqref="G5:G108">
    <cfRule type="cellIs" dxfId="28" priority="2" operator="greaterThanOrEqual">
      <formula>0</formula>
    </cfRule>
    <cfRule type="cellIs" dxfId="27" priority="3" operator="lessThan">
      <formula>0</formula>
    </cfRule>
  </conditionalFormatting>
  <conditionalFormatting sqref="H5:H108">
    <cfRule type="expression" dxfId="26" priority="4">
      <formula>LEFT(H5,1)="▲"</formula>
    </cfRule>
    <cfRule type="expression" dxfId="25" priority="5">
      <formula>LEFT(H5,1)="▼"</formula>
    </cfRule>
  </conditionalFormatting>
  <conditionalFormatting sqref="I4:I108">
    <cfRule type="cellIs" dxfId="24" priority="6" operator="equal">
      <formula>"Peak"</formula>
    </cfRule>
    <cfRule type="cellIs" dxfId="23" priority="7" operator="equal">
      <formula>"Low"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zoomScaleNormal="100" workbookViewId="0">
      <selection activeCell="I9" sqref="I9"/>
    </sheetView>
  </sheetViews>
  <sheetFormatPr defaultColWidth="8.6328125" defaultRowHeight="14.5" x14ac:dyDescent="0.35"/>
  <cols>
    <col min="1" max="1" width="7.453125" bestFit="1" customWidth="1"/>
    <col min="2" max="2" width="4.81640625" bestFit="1" customWidth="1"/>
    <col min="3" max="3" width="8.6328125" bestFit="1" customWidth="1"/>
    <col min="4" max="4" width="11.26953125" bestFit="1" customWidth="1"/>
    <col min="5" max="5" width="13.54296875" bestFit="1" customWidth="1"/>
    <col min="6" max="6" width="12.26953125" bestFit="1" customWidth="1"/>
    <col min="7" max="7" width="15" bestFit="1" customWidth="1"/>
    <col min="8" max="8" width="11.1796875" bestFit="1" customWidth="1"/>
  </cols>
  <sheetData>
    <row r="1" spans="1:8" ht="18" x14ac:dyDescent="0.35">
      <c r="A1" s="3" t="s">
        <v>100</v>
      </c>
      <c r="B1" s="3"/>
      <c r="C1" s="3"/>
      <c r="D1" s="3"/>
      <c r="E1" s="3"/>
      <c r="F1" s="3"/>
      <c r="G1" s="3"/>
      <c r="H1" s="3"/>
    </row>
    <row r="2" spans="1:8" x14ac:dyDescent="0.35">
      <c r="A2" s="1" t="s">
        <v>101</v>
      </c>
      <c r="B2" s="1"/>
      <c r="C2" s="1"/>
      <c r="D2" s="1"/>
      <c r="E2" s="1"/>
      <c r="F2" s="1"/>
      <c r="G2" s="1"/>
      <c r="H2" s="1"/>
    </row>
    <row r="3" spans="1:8" x14ac:dyDescent="0.35">
      <c r="A3" s="13" t="s">
        <v>102</v>
      </c>
      <c r="B3" s="13" t="s">
        <v>70</v>
      </c>
      <c r="C3" s="13" t="s">
        <v>38</v>
      </c>
      <c r="D3" s="13" t="s">
        <v>41</v>
      </c>
      <c r="E3" s="13" t="s">
        <v>50</v>
      </c>
      <c r="F3" s="13" t="s">
        <v>71</v>
      </c>
      <c r="G3" s="13" t="s">
        <v>103</v>
      </c>
      <c r="H3" s="13" t="s">
        <v>98</v>
      </c>
    </row>
    <row r="4" spans="1:8" x14ac:dyDescent="0.35">
      <c r="A4" t="s">
        <v>104</v>
      </c>
      <c r="B4">
        <v>2024</v>
      </c>
      <c r="C4">
        <f>SUMPRODUCT(('Daily Data'!$A$4:$A$734&gt;=DATE(2024,1,1))*('Daily Data'!$A$4:$A$734&lt;DATE(2024,4,1))*'Daily Data'!$D$4:$D$734)</f>
        <v>644</v>
      </c>
      <c r="D4" s="19">
        <f>SUMPRODUCT(('Daily Data'!$A$4:$A$734&gt;=DATE(2024,1,1))*('Daily Data'!$A$4:$A$734&lt;DATE(2024,4,1))*'Daily Data'!$G$4:$G$734)</f>
        <v>344938</v>
      </c>
      <c r="E4" s="19">
        <f>SUMPRODUCT(('Daily Data'!$A$4:$A$734&gt;=DATE(2024,1,1))*('Daily Data'!$A$4:$A$734&lt;DATE(2024,4,1))*'Daily Data'!$P$4:$P$734)</f>
        <v>226121</v>
      </c>
      <c r="F4" s="20">
        <f t="shared" ref="F4:F11" si="0">E4/D4</f>
        <v>0.65554099577315339</v>
      </c>
      <c r="G4" t="s">
        <v>76</v>
      </c>
      <c r="H4" t="s">
        <v>77</v>
      </c>
    </row>
    <row r="5" spans="1:8" x14ac:dyDescent="0.35">
      <c r="A5" t="s">
        <v>105</v>
      </c>
      <c r="B5">
        <v>2024</v>
      </c>
      <c r="C5">
        <f>SUMPRODUCT(('Daily Data'!$A$4:$A$734&gt;=DATE(2024,4,1))*('Daily Data'!$A$4:$A$734&lt;DATE(2024,7,1))*'Daily Data'!$D$4:$D$734)</f>
        <v>715</v>
      </c>
      <c r="D5" s="19">
        <f>SUMPRODUCT(('Daily Data'!$A$4:$A$734&gt;=DATE(2024,4,1))*('Daily Data'!$A$4:$A$734&lt;DATE(2024,7,1))*'Daily Data'!$G$4:$G$734)</f>
        <v>379403</v>
      </c>
      <c r="E5" s="19">
        <f>SUMPRODUCT(('Daily Data'!$A$4:$A$734&gt;=DATE(2024,4,1))*('Daily Data'!$A$4:$A$734&lt;DATE(2024,7,1))*'Daily Data'!$P$4:$P$734)</f>
        <v>258079</v>
      </c>
      <c r="F5" s="20">
        <f t="shared" si="0"/>
        <v>0.68022393075436938</v>
      </c>
      <c r="G5" s="20">
        <f t="shared" ref="G5:G11" si="1">IF(D4=0,0,(D5-D4)/D4)</f>
        <v>9.9916506734543595E-2</v>
      </c>
      <c r="H5" t="str">
        <f t="shared" ref="H5:H11" si="2">IF(D5&gt;=D4,"▲ Increase","▼ Decrease")</f>
        <v>▲ Increase</v>
      </c>
    </row>
    <row r="6" spans="1:8" x14ac:dyDescent="0.35">
      <c r="A6" t="s">
        <v>106</v>
      </c>
      <c r="B6">
        <v>2024</v>
      </c>
      <c r="C6">
        <f>SUMPRODUCT(('Daily Data'!$A$4:$A$734&gt;=DATE(2024,7,1))*('Daily Data'!$A$4:$A$734&lt;DATE(2024,10,1))*'Daily Data'!$D$4:$D$734)</f>
        <v>564</v>
      </c>
      <c r="D6" s="19">
        <f>SUMPRODUCT(('Daily Data'!$A$4:$A$734&gt;=DATE(2024,7,1))*('Daily Data'!$A$4:$A$734&lt;DATE(2024,10,1))*'Daily Data'!$G$4:$G$734)</f>
        <v>300787</v>
      </c>
      <c r="E6" s="19">
        <f>SUMPRODUCT(('Daily Data'!$A$4:$A$734&gt;=DATE(2024,7,1))*('Daily Data'!$A$4:$A$734&lt;DATE(2024,10,1))*'Daily Data'!$P$4:$P$734)</f>
        <v>184017</v>
      </c>
      <c r="F6" s="20">
        <f t="shared" si="0"/>
        <v>0.6117850837968396</v>
      </c>
      <c r="G6" s="20">
        <f t="shared" si="1"/>
        <v>-0.20720974794611535</v>
      </c>
      <c r="H6" t="str">
        <f t="shared" si="2"/>
        <v>▼ Decrease</v>
      </c>
    </row>
    <row r="7" spans="1:8" x14ac:dyDescent="0.35">
      <c r="A7" t="s">
        <v>107</v>
      </c>
      <c r="B7">
        <v>2024</v>
      </c>
      <c r="C7">
        <f>SUMPRODUCT(('Daily Data'!$A$4:$A$734&gt;=DATE(2024,10,1))*('Daily Data'!$A$4:$A$734&lt;DATE(2025,1,1))*'Daily Data'!$D$4:$D$734)</f>
        <v>964</v>
      </c>
      <c r="D7" s="19">
        <f>SUMPRODUCT(('Daily Data'!$A$4:$A$734&gt;=DATE(2024,10,1))*('Daily Data'!$A$4:$A$734&lt;DATE(2025,1,1))*'Daily Data'!$G$4:$G$734)</f>
        <v>514062</v>
      </c>
      <c r="E7" s="19">
        <f>SUMPRODUCT(('Daily Data'!$A$4:$A$734&gt;=DATE(2024,10,1))*('Daily Data'!$A$4:$A$734&lt;DATE(2025,1,1))*'Daily Data'!$P$4:$P$734)</f>
        <v>386655</v>
      </c>
      <c r="F7" s="20">
        <f t="shared" si="0"/>
        <v>0.75215635468095288</v>
      </c>
      <c r="G7" s="20">
        <f t="shared" si="1"/>
        <v>0.70905657491846386</v>
      </c>
      <c r="H7" t="str">
        <f t="shared" si="2"/>
        <v>▲ Increase</v>
      </c>
    </row>
    <row r="8" spans="1:8" x14ac:dyDescent="0.35">
      <c r="A8" t="s">
        <v>104</v>
      </c>
      <c r="B8">
        <v>2025</v>
      </c>
      <c r="C8">
        <f>SUMPRODUCT(('Daily Data'!$A$4:$A$734&gt;=DATE(2025,1,1))*('Daily Data'!$A$4:$A$734&lt;DATE(2025,4,1))*'Daily Data'!$D$4:$D$734)</f>
        <v>636</v>
      </c>
      <c r="D8" s="19">
        <f>SUMPRODUCT(('Daily Data'!$A$4:$A$734&gt;=DATE(2025,1,1))*('Daily Data'!$A$4:$A$734&lt;DATE(2025,4,1))*'Daily Data'!$G$4:$G$734)</f>
        <v>337060</v>
      </c>
      <c r="E8" s="19">
        <f>SUMPRODUCT(('Daily Data'!$A$4:$A$734&gt;=DATE(2025,1,1))*('Daily Data'!$A$4:$A$734&lt;DATE(2025,4,1))*'Daily Data'!$P$4:$P$734)</f>
        <v>218476</v>
      </c>
      <c r="F8" s="20">
        <f t="shared" si="0"/>
        <v>0.64818133270040945</v>
      </c>
      <c r="G8" s="20">
        <f t="shared" si="1"/>
        <v>-0.34432033490123759</v>
      </c>
      <c r="H8" t="str">
        <f t="shared" si="2"/>
        <v>▼ Decrease</v>
      </c>
    </row>
    <row r="9" spans="1:8" x14ac:dyDescent="0.35">
      <c r="A9" t="s">
        <v>105</v>
      </c>
      <c r="B9">
        <v>2025</v>
      </c>
      <c r="C9">
        <f>SUMPRODUCT(('Daily Data'!$A$4:$A$734&gt;=DATE(2025,4,1))*('Daily Data'!$A$4:$A$734&lt;DATE(2025,7,1))*'Daily Data'!$D$4:$D$734)</f>
        <v>645</v>
      </c>
      <c r="D9" s="19">
        <f>SUMPRODUCT(('Daily Data'!$A$4:$A$734&gt;=DATE(2025,4,1))*('Daily Data'!$A$4:$A$734&lt;DATE(2025,7,1))*'Daily Data'!$G$4:$G$734)</f>
        <v>340402</v>
      </c>
      <c r="E9" s="19">
        <f>SUMPRODUCT(('Daily Data'!$A$4:$A$734&gt;=DATE(2025,4,1))*('Daily Data'!$A$4:$A$734&lt;DATE(2025,7,1))*'Daily Data'!$P$4:$P$734)</f>
        <v>220498</v>
      </c>
      <c r="F9" s="20">
        <f t="shared" si="0"/>
        <v>0.64775765124764251</v>
      </c>
      <c r="G9" s="20">
        <f t="shared" si="1"/>
        <v>9.9151486382246488E-3</v>
      </c>
      <c r="H9" t="str">
        <f t="shared" si="2"/>
        <v>▲ Increase</v>
      </c>
    </row>
    <row r="10" spans="1:8" x14ac:dyDescent="0.35">
      <c r="A10" t="s">
        <v>106</v>
      </c>
      <c r="B10">
        <v>2025</v>
      </c>
      <c r="C10">
        <f>SUMPRODUCT(('Daily Data'!$A$4:$A$734&gt;=DATE(2025,7,1))*('Daily Data'!$A$4:$A$734&lt;DATE(2025,10,1))*'Daily Data'!$D$4:$D$734)</f>
        <v>589</v>
      </c>
      <c r="D10" s="19">
        <f>SUMPRODUCT(('Daily Data'!$A$4:$A$734&gt;=DATE(2025,7,1))*('Daily Data'!$A$4:$A$734&lt;DATE(2025,10,1))*'Daily Data'!$G$4:$G$734)</f>
        <v>310308</v>
      </c>
      <c r="E10" s="19">
        <f>SUMPRODUCT(('Daily Data'!$A$4:$A$734&gt;=DATE(2025,7,1))*('Daily Data'!$A$4:$A$734&lt;DATE(2025,10,1))*'Daily Data'!$P$4:$P$734)</f>
        <v>193107</v>
      </c>
      <c r="F10" s="20">
        <f t="shared" si="0"/>
        <v>0.62230751382497385</v>
      </c>
      <c r="G10" s="20">
        <f t="shared" si="1"/>
        <v>-8.8407236150198881E-2</v>
      </c>
      <c r="H10" t="str">
        <f t="shared" si="2"/>
        <v>▼ Decrease</v>
      </c>
    </row>
    <row r="11" spans="1:8" x14ac:dyDescent="0.35">
      <c r="A11" t="s">
        <v>107</v>
      </c>
      <c r="B11">
        <v>2025</v>
      </c>
      <c r="C11">
        <f>SUMPRODUCT(('Daily Data'!$A$4:$A$734&gt;=DATE(2025,10,1))*('Daily Data'!$A$4:$A$734&lt;DATE(2026,1,1))*'Daily Data'!$D$4:$D$734)</f>
        <v>994</v>
      </c>
      <c r="D11" s="19">
        <f>SUMPRODUCT(('Daily Data'!$A$4:$A$734&gt;=DATE(2025,10,1))*('Daily Data'!$A$4:$A$734&lt;DATE(2026,1,1))*'Daily Data'!$G$4:$G$734)</f>
        <v>526516</v>
      </c>
      <c r="E11" s="19">
        <f>SUMPRODUCT(('Daily Data'!$A$4:$A$734&gt;=DATE(2025,10,1))*('Daily Data'!$A$4:$A$734&lt;DATE(2026,1,1))*'Daily Data'!$P$4:$P$734)</f>
        <v>398591</v>
      </c>
      <c r="F11" s="20">
        <f t="shared" si="0"/>
        <v>0.75703492391494276</v>
      </c>
      <c r="G11" s="20">
        <f t="shared" si="1"/>
        <v>0.69675290356677877</v>
      </c>
      <c r="H11" t="str">
        <f t="shared" si="2"/>
        <v>▲ Increase</v>
      </c>
    </row>
  </sheetData>
  <mergeCells count="2">
    <mergeCell ref="A1:H1"/>
    <mergeCell ref="A2:H2"/>
  </mergeCells>
  <conditionalFormatting sqref="A4:A11">
    <cfRule type="cellIs" dxfId="22" priority="7" operator="equal">
      <formula>"Q4"</formula>
    </cfRule>
    <cfRule type="cellIs" dxfId="21" priority="8" operator="equal">
      <formula>"Q3"</formula>
    </cfRule>
  </conditionalFormatting>
  <conditionalFormatting sqref="E4:E11">
    <cfRule type="cellIs" dxfId="20" priority="6" operator="lessThan">
      <formula>0</formula>
    </cfRule>
  </conditionalFormatting>
  <conditionalFormatting sqref="G5:G11">
    <cfRule type="cellIs" dxfId="19" priority="2" operator="greaterThanOrEqual">
      <formula>0</formula>
    </cfRule>
    <cfRule type="cellIs" dxfId="18" priority="3" operator="lessThan">
      <formula>0</formula>
    </cfRule>
  </conditionalFormatting>
  <conditionalFormatting sqref="H5:H11">
    <cfRule type="expression" dxfId="17" priority="4">
      <formula>LEFT(H5,1)="▲"</formula>
    </cfRule>
    <cfRule type="expression" dxfId="16" priority="5">
      <formula>LEFT(H5,1)="▼"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topLeftCell="A33" zoomScaleNormal="100" workbookViewId="0">
      <selection activeCell="A3" sqref="A1:H1048576"/>
    </sheetView>
  </sheetViews>
  <sheetFormatPr defaultColWidth="8.6328125" defaultRowHeight="14.5" x14ac:dyDescent="0.35"/>
  <cols>
    <col min="1" max="1" width="8.90625" bestFit="1" customWidth="1"/>
    <col min="2" max="2" width="4.81640625" bestFit="1" customWidth="1"/>
    <col min="3" max="3" width="8.6328125" bestFit="1" customWidth="1"/>
    <col min="4" max="4" width="11.26953125" bestFit="1" customWidth="1"/>
    <col min="5" max="5" width="13.54296875" bestFit="1" customWidth="1"/>
    <col min="6" max="6" width="12.26953125" bestFit="1" customWidth="1"/>
    <col min="7" max="7" width="22.08984375" bestFit="1" customWidth="1"/>
    <col min="8" max="8" width="11.1796875" bestFit="1" customWidth="1"/>
  </cols>
  <sheetData>
    <row r="1" spans="1:8" ht="18" x14ac:dyDescent="0.35">
      <c r="A1" s="3" t="s">
        <v>108</v>
      </c>
      <c r="B1" s="3"/>
      <c r="C1" s="3"/>
      <c r="D1" s="3"/>
      <c r="E1" s="3"/>
      <c r="F1" s="3"/>
      <c r="G1" s="3"/>
      <c r="H1" s="3"/>
    </row>
    <row r="2" spans="1:8" x14ac:dyDescent="0.35">
      <c r="A2" s="1" t="s">
        <v>109</v>
      </c>
      <c r="B2" s="1"/>
      <c r="C2" s="1"/>
      <c r="D2" s="1"/>
      <c r="E2" s="1"/>
      <c r="F2" s="1"/>
      <c r="G2" s="1"/>
      <c r="H2" s="1"/>
    </row>
    <row r="3" spans="1:8" x14ac:dyDescent="0.35">
      <c r="A3" s="13" t="s">
        <v>110</v>
      </c>
      <c r="B3" s="13" t="s">
        <v>70</v>
      </c>
      <c r="C3" s="13" t="s">
        <v>38</v>
      </c>
      <c r="D3" s="13" t="s">
        <v>41</v>
      </c>
      <c r="E3" s="13" t="s">
        <v>50</v>
      </c>
      <c r="F3" s="13" t="s">
        <v>71</v>
      </c>
      <c r="G3" s="13" t="s">
        <v>111</v>
      </c>
      <c r="H3" s="13" t="s">
        <v>98</v>
      </c>
    </row>
    <row r="4" spans="1:8" x14ac:dyDescent="0.35">
      <c r="A4" t="s">
        <v>112</v>
      </c>
      <c r="B4">
        <v>2024</v>
      </c>
      <c r="C4">
        <f>SUMPRODUCT(('Daily Data'!$A$4:$A$734&gt;=DATE(2024,1,1))*('Daily Data'!$A$4:$A$734&lt;DATE(2024,7,1))*'Daily Data'!$D$4:$D$734)</f>
        <v>1359</v>
      </c>
      <c r="D4" s="19">
        <f>SUMPRODUCT(('Daily Data'!$A$4:$A$734&gt;=DATE(2024,1,1))*('Daily Data'!$A$4:$A$734&lt;DATE(2024,7,1))*'Daily Data'!$G$4:$G$734)</f>
        <v>724341</v>
      </c>
      <c r="E4" s="19">
        <f>SUMPRODUCT(('Daily Data'!$A$4:$A$734&gt;=DATE(2024,1,1))*('Daily Data'!$A$4:$A$734&lt;DATE(2024,7,1))*'Daily Data'!$P$4:$P$734)</f>
        <v>484200</v>
      </c>
      <c r="F4" s="20">
        <f>E4/D4</f>
        <v>0.66846968485837477</v>
      </c>
      <c r="G4" t="s">
        <v>76</v>
      </c>
      <c r="H4" t="s">
        <v>77</v>
      </c>
    </row>
    <row r="5" spans="1:8" x14ac:dyDescent="0.35">
      <c r="A5" t="s">
        <v>113</v>
      </c>
      <c r="B5">
        <v>2024</v>
      </c>
      <c r="C5">
        <f>SUMPRODUCT(('Daily Data'!$A$4:$A$734&gt;=DATE(2024,7,1))*('Daily Data'!$A$4:$A$734&lt;DATE(2025,1,1))*'Daily Data'!$D$4:$D$734)</f>
        <v>1528</v>
      </c>
      <c r="D5" s="19">
        <f>SUMPRODUCT(('Daily Data'!$A$4:$A$734&gt;=DATE(2024,7,1))*('Daily Data'!$A$4:$A$734&lt;DATE(2025,1,1))*'Daily Data'!$G$4:$G$734)</f>
        <v>814849</v>
      </c>
      <c r="E5" s="19">
        <f>SUMPRODUCT(('Daily Data'!$A$4:$A$734&gt;=DATE(2024,7,1))*('Daily Data'!$A$4:$A$734&lt;DATE(2025,1,1))*'Daily Data'!$P$4:$P$734)</f>
        <v>570672</v>
      </c>
      <c r="F5" s="20">
        <f>E5/D5</f>
        <v>0.7003407993382823</v>
      </c>
      <c r="G5" s="20">
        <f>IF(D4=0,0,(D5-D4)/D4)</f>
        <v>0.12495219792887605</v>
      </c>
      <c r="H5" t="str">
        <f>IF(D5&gt;=D4,"▲ Increase","▼ Decrease")</f>
        <v>▲ Increase</v>
      </c>
    </row>
    <row r="6" spans="1:8" x14ac:dyDescent="0.35">
      <c r="A6" t="s">
        <v>112</v>
      </c>
      <c r="B6">
        <v>2025</v>
      </c>
      <c r="C6">
        <f>SUMPRODUCT(('Daily Data'!$A$4:$A$734&gt;=DATE(2025,1,1))*('Daily Data'!$A$4:$A$734&lt;DATE(2025,7,1))*'Daily Data'!$D$4:$D$734)</f>
        <v>1281</v>
      </c>
      <c r="D6" s="19">
        <f>SUMPRODUCT(('Daily Data'!$A$4:$A$734&gt;=DATE(2025,1,1))*('Daily Data'!$A$4:$A$734&lt;DATE(2025,7,1))*'Daily Data'!$G$4:$G$734)</f>
        <v>677462</v>
      </c>
      <c r="E6" s="19">
        <f>SUMPRODUCT(('Daily Data'!$A$4:$A$734&gt;=DATE(2025,1,1))*('Daily Data'!$A$4:$A$734&lt;DATE(2025,7,1))*'Daily Data'!$P$4:$P$734)</f>
        <v>438974</v>
      </c>
      <c r="F6" s="20">
        <f>E6/D6</f>
        <v>0.64796844693872124</v>
      </c>
      <c r="G6" s="20">
        <f>IF(D5=0,0,(D6-D5)/D5)</f>
        <v>-0.16860424446737984</v>
      </c>
      <c r="H6" t="str">
        <f>IF(D6&gt;=D5,"▲ Increase","▼ Decrease")</f>
        <v>▼ Decrease</v>
      </c>
    </row>
    <row r="7" spans="1:8" x14ac:dyDescent="0.35">
      <c r="A7" t="s">
        <v>113</v>
      </c>
      <c r="B7">
        <v>2025</v>
      </c>
      <c r="C7">
        <f>SUMPRODUCT(('Daily Data'!$A$4:$A$734&gt;=DATE(2025,7,1))*('Daily Data'!$A$4:$A$734&lt;DATE(2026,1,1))*'Daily Data'!$D$4:$D$734)</f>
        <v>1583</v>
      </c>
      <c r="D7" s="19">
        <f>SUMPRODUCT(('Daily Data'!$A$4:$A$734&gt;=DATE(2025,7,1))*('Daily Data'!$A$4:$A$734&lt;DATE(2026,1,1))*'Daily Data'!$G$4:$G$734)</f>
        <v>836824</v>
      </c>
      <c r="E7" s="19">
        <f>SUMPRODUCT(('Daily Data'!$A$4:$A$734&gt;=DATE(2025,7,1))*('Daily Data'!$A$4:$A$734&lt;DATE(2026,1,1))*'Daily Data'!$P$4:$P$734)</f>
        <v>591698</v>
      </c>
      <c r="F7" s="20">
        <f>E7/D7</f>
        <v>0.7070758008852519</v>
      </c>
      <c r="G7" s="20">
        <f>IF(D6=0,0,(D7-D6)/D6)</f>
        <v>0.23523385813521644</v>
      </c>
      <c r="H7" t="str">
        <f>IF(D7&gt;=D6,"▲ Increase","▼ Decrease")</f>
        <v>▲ Increase</v>
      </c>
    </row>
  </sheetData>
  <mergeCells count="2">
    <mergeCell ref="A1:H1"/>
    <mergeCell ref="A2:H2"/>
  </mergeCells>
  <conditionalFormatting sqref="G5:G7">
    <cfRule type="cellIs" dxfId="15" priority="2" operator="greaterThanOrEqual">
      <formula>0</formula>
    </cfRule>
    <cfRule type="cellIs" dxfId="14" priority="3" operator="lessThan">
      <formula>0</formula>
    </cfRule>
  </conditionalFormatting>
  <conditionalFormatting sqref="H5:H7">
    <cfRule type="expression" dxfId="13" priority="4">
      <formula>LEFT(H5,1)="▲"</formula>
    </cfRule>
    <cfRule type="expression" dxfId="12" priority="5">
      <formula>LEFT(H5,1)="▼"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topLeftCell="A39" zoomScaleNormal="100" workbookViewId="0">
      <selection activeCell="A3" sqref="A1:H1048576"/>
    </sheetView>
  </sheetViews>
  <sheetFormatPr defaultColWidth="8.6328125" defaultRowHeight="14.5" x14ac:dyDescent="0.35"/>
  <cols>
    <col min="1" max="1" width="14" bestFit="1" customWidth="1"/>
    <col min="2" max="2" width="8.6328125" bestFit="1" customWidth="1"/>
    <col min="3" max="3" width="11.26953125" bestFit="1" customWidth="1"/>
    <col min="4" max="4" width="17.26953125" bestFit="1" customWidth="1"/>
    <col min="5" max="5" width="13.54296875" bestFit="1" customWidth="1"/>
    <col min="6" max="6" width="12.26953125" bestFit="1" customWidth="1"/>
    <col min="7" max="7" width="21.54296875" bestFit="1" customWidth="1"/>
    <col min="8" max="8" width="11.1796875" bestFit="1" customWidth="1"/>
  </cols>
  <sheetData>
    <row r="1" spans="1:8" ht="18" x14ac:dyDescent="0.35">
      <c r="A1" s="3" t="s">
        <v>114</v>
      </c>
      <c r="B1" s="3"/>
      <c r="C1" s="3"/>
      <c r="D1" s="3"/>
      <c r="E1" s="3"/>
      <c r="F1" s="3"/>
      <c r="G1" s="3"/>
      <c r="H1" s="3"/>
    </row>
    <row r="2" spans="1:8" x14ac:dyDescent="0.35">
      <c r="A2" s="1" t="s">
        <v>115</v>
      </c>
      <c r="B2" s="1"/>
      <c r="C2" s="1"/>
      <c r="D2" s="1"/>
      <c r="E2" s="1"/>
      <c r="F2" s="1"/>
      <c r="G2" s="1"/>
      <c r="H2" s="1"/>
    </row>
    <row r="3" spans="1:8" x14ac:dyDescent="0.35">
      <c r="A3" s="13" t="s">
        <v>70</v>
      </c>
      <c r="B3" s="13" t="s">
        <v>38</v>
      </c>
      <c r="C3" s="13" t="s">
        <v>41</v>
      </c>
      <c r="D3" s="13" t="s">
        <v>49</v>
      </c>
      <c r="E3" s="13" t="s">
        <v>50</v>
      </c>
      <c r="F3" s="13" t="s">
        <v>71</v>
      </c>
      <c r="G3" s="13" t="s">
        <v>116</v>
      </c>
      <c r="H3" s="13" t="s">
        <v>98</v>
      </c>
    </row>
    <row r="4" spans="1:8" x14ac:dyDescent="0.35">
      <c r="A4">
        <v>2024</v>
      </c>
      <c r="B4">
        <f>SUMPRODUCT((YEAR('Daily Data'!$A$4:$A$734)=2024)*'Daily Data'!$D$4:$D$734)</f>
        <v>2887</v>
      </c>
      <c r="C4" s="19">
        <f>SUMPRODUCT((YEAR('Daily Data'!$A$4:$A$734)=2024)*'Daily Data'!$G$4:$G$734)</f>
        <v>1539190</v>
      </c>
      <c r="D4" s="19">
        <f>SUMPRODUCT((YEAR('Daily Data'!$A$4:$A$734)=2024)*'Daily Data'!$O$4:$O$734)</f>
        <v>484318</v>
      </c>
      <c r="E4" s="19">
        <f>C4-D4</f>
        <v>1054872</v>
      </c>
      <c r="F4" s="20">
        <f>E4/C4</f>
        <v>0.68534229042548356</v>
      </c>
      <c r="G4" t="s">
        <v>76</v>
      </c>
      <c r="H4" t="s">
        <v>77</v>
      </c>
    </row>
    <row r="5" spans="1:8" x14ac:dyDescent="0.35">
      <c r="A5">
        <v>2025</v>
      </c>
      <c r="B5">
        <f>SUMPRODUCT((YEAR('Daily Data'!$A$4:$A$734)=2025)*'Daily Data'!$D$4:$D$734)</f>
        <v>2864</v>
      </c>
      <c r="C5" s="19">
        <f>SUMPRODUCT((YEAR('Daily Data'!$A$4:$A$734)=2025)*'Daily Data'!$G$4:$G$734)</f>
        <v>1514286</v>
      </c>
      <c r="D5" s="19">
        <f>SUMPRODUCT((YEAR('Daily Data'!$A$4:$A$734)=2025)*'Daily Data'!$O$4:$O$734)</f>
        <v>483614</v>
      </c>
      <c r="E5" s="19">
        <f>C5-D5</f>
        <v>1030672</v>
      </c>
      <c r="F5" s="20">
        <f>E5/C5</f>
        <v>0.68063232440899535</v>
      </c>
      <c r="G5" s="20">
        <f>(C5-C4)/C4</f>
        <v>-1.6179938798978683E-2</v>
      </c>
      <c r="H5" t="str">
        <f>IF(C5&gt;=C4,"▲ Increase","▼ Decrease")</f>
        <v>▼ Decrease</v>
      </c>
    </row>
    <row r="6" spans="1:8" x14ac:dyDescent="0.35">
      <c r="A6" s="21" t="s">
        <v>117</v>
      </c>
      <c r="B6" s="21">
        <f>SUM(B4:B5)</f>
        <v>5751</v>
      </c>
      <c r="C6" s="23">
        <f>SUM(C4:C5)</f>
        <v>3053476</v>
      </c>
      <c r="D6" s="23">
        <f>SUM(D4:D5)</f>
        <v>967932</v>
      </c>
      <c r="E6" s="23">
        <f>SUM(E4:E5)</f>
        <v>2085544</v>
      </c>
      <c r="F6" s="24">
        <f>E6/C6</f>
        <v>0.68300651454277028</v>
      </c>
      <c r="G6" s="22"/>
      <c r="H6" s="22"/>
    </row>
  </sheetData>
  <mergeCells count="2">
    <mergeCell ref="A1:H1"/>
    <mergeCell ref="A2:H2"/>
  </mergeCells>
  <conditionalFormatting sqref="G5">
    <cfRule type="cellIs" dxfId="11" priority="2" operator="greaterThanOrEqual">
      <formula>0</formula>
    </cfRule>
    <cfRule type="cellIs" dxfId="10" priority="3" operator="lessThan">
      <formula>0</formula>
    </cfRule>
  </conditionalFormatting>
  <conditionalFormatting sqref="H5">
    <cfRule type="expression" dxfId="9" priority="4">
      <formula>LEFT(H5,1)="▲"</formula>
    </cfRule>
    <cfRule type="expression" dxfId="8" priority="5">
      <formula>LEFT(H5,1)="▼"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0"/>
  <sheetViews>
    <sheetView zoomScaleNormal="100" workbookViewId="0">
      <selection activeCell="C30" sqref="C30"/>
    </sheetView>
  </sheetViews>
  <sheetFormatPr defaultColWidth="8.6328125" defaultRowHeight="14.5" x14ac:dyDescent="0.35"/>
  <cols>
    <col min="1" max="1" width="20" bestFit="1" customWidth="1"/>
    <col min="2" max="2" width="4.81640625" bestFit="1" customWidth="1"/>
    <col min="3" max="4" width="11.90625" bestFit="1" customWidth="1"/>
    <col min="5" max="6" width="14.6328125" bestFit="1" customWidth="1"/>
    <col min="7" max="8" width="11.1796875" bestFit="1" customWidth="1"/>
    <col min="9" max="9" width="51.7265625" bestFit="1" customWidth="1"/>
  </cols>
  <sheetData>
    <row r="1" spans="1:9" ht="18" x14ac:dyDescent="0.35">
      <c r="A1" s="3" t="s">
        <v>118</v>
      </c>
      <c r="B1" s="3"/>
      <c r="C1" s="3"/>
      <c r="D1" s="3"/>
      <c r="E1" s="3"/>
      <c r="F1" s="3"/>
      <c r="G1" s="3"/>
      <c r="H1" s="3"/>
      <c r="I1" s="3"/>
    </row>
    <row r="2" spans="1:9" ht="42" customHeight="1" x14ac:dyDescent="0.35">
      <c r="A2" s="11" t="s">
        <v>119</v>
      </c>
      <c r="B2" s="11"/>
      <c r="C2" s="11"/>
      <c r="D2" s="11"/>
      <c r="E2" s="11"/>
      <c r="F2" s="11"/>
      <c r="G2" s="11"/>
      <c r="H2" s="11"/>
      <c r="I2" s="11"/>
    </row>
    <row r="3" spans="1:9" x14ac:dyDescent="0.35">
      <c r="A3" s="13" t="s">
        <v>69</v>
      </c>
      <c r="B3" s="13" t="s">
        <v>70</v>
      </c>
      <c r="C3" s="13" t="s">
        <v>39</v>
      </c>
      <c r="D3" s="13" t="s">
        <v>40</v>
      </c>
      <c r="E3" s="13" t="s">
        <v>42</v>
      </c>
      <c r="F3" s="13" t="s">
        <v>43</v>
      </c>
      <c r="G3" s="13" t="s">
        <v>120</v>
      </c>
      <c r="H3" s="13" t="s">
        <v>121</v>
      </c>
      <c r="I3" s="13" t="s">
        <v>122</v>
      </c>
    </row>
    <row r="4" spans="1:9" x14ac:dyDescent="0.35">
      <c r="A4" t="s">
        <v>123</v>
      </c>
      <c r="B4">
        <v>2024</v>
      </c>
      <c r="C4">
        <f>SUMPRODUCT(('Daily Data'!$A$4:$A$734&gt;=DATE(2024,1,1))*('Daily Data'!$A$4:$A$734&lt;DATE(2024,2,1))*'Daily Data'!$E$4:$E$734)</f>
        <v>50</v>
      </c>
      <c r="D4">
        <f>SUMPRODUCT(('Daily Data'!$A$4:$A$734&gt;=DATE(2024,1,1))*('Daily Data'!$A$4:$A$734&lt;DATE(2024,2,1))*'Daily Data'!$F$4:$F$734)</f>
        <v>129</v>
      </c>
      <c r="E4" s="19">
        <f>SUMPRODUCT(('Daily Data'!$A$4:$A$734&gt;=DATE(2024,1,1))*('Daily Data'!$A$4:$A$734&lt;DATE(2024,2,1))*'Daily Data'!$H$4:$H$734)</f>
        <v>67416</v>
      </c>
      <c r="F4" s="19">
        <f>SUMPRODUCT(('Daily Data'!$A$4:$A$734&gt;=DATE(2024,1,1))*('Daily Data'!$A$4:$A$734&lt;DATE(2024,2,1))*'Daily Data'!$I$4:$I$734)</f>
        <v>28911</v>
      </c>
      <c r="G4" s="20">
        <f t="shared" ref="G4:G28" si="0">E4/(E4+F4)</f>
        <v>0.69986608116104521</v>
      </c>
      <c r="H4" s="20">
        <f t="shared" ref="H4:H28" si="1">F4/(E4+F4)</f>
        <v>0.30013391883895479</v>
      </c>
      <c r="I4" t="s">
        <v>76</v>
      </c>
    </row>
    <row r="5" spans="1:9" x14ac:dyDescent="0.35">
      <c r="A5" t="s">
        <v>124</v>
      </c>
      <c r="B5">
        <v>2024</v>
      </c>
      <c r="C5">
        <f>SUMPRODUCT(('Daily Data'!$A$4:$A$734&gt;=DATE(2024,2,1))*('Daily Data'!$A$4:$A$734&lt;DATE(2024,3,1))*'Daily Data'!$E$4:$E$734)</f>
        <v>76</v>
      </c>
      <c r="D5">
        <f>SUMPRODUCT(('Daily Data'!$A$4:$A$734&gt;=DATE(2024,2,1))*('Daily Data'!$A$4:$A$734&lt;DATE(2024,3,1))*'Daily Data'!$F$4:$F$734)</f>
        <v>142</v>
      </c>
      <c r="E5" s="19">
        <f>SUMPRODUCT(('Daily Data'!$A$4:$A$734&gt;=DATE(2024,2,1))*('Daily Data'!$A$4:$A$734&lt;DATE(2024,3,1))*'Daily Data'!$H$4:$H$734)</f>
        <v>84450</v>
      </c>
      <c r="F5" s="19">
        <f>SUMPRODUCT(('Daily Data'!$A$4:$A$734&gt;=DATE(2024,2,1))*('Daily Data'!$A$4:$A$734&lt;DATE(2024,3,1))*'Daily Data'!$I$4:$I$734)</f>
        <v>31624</v>
      </c>
      <c r="G5" s="20">
        <f t="shared" si="0"/>
        <v>0.72755311266950395</v>
      </c>
      <c r="H5" s="20">
        <f t="shared" si="1"/>
        <v>0.27244688733049605</v>
      </c>
      <c r="I5" t="str">
        <f t="shared" ref="I5:I27" si="2">IF((E5+F5)&gt;=(E4+F4),"▲ Increase","▼ Decrease")</f>
        <v>▲ Increase</v>
      </c>
    </row>
    <row r="6" spans="1:9" x14ac:dyDescent="0.35">
      <c r="A6" t="s">
        <v>125</v>
      </c>
      <c r="B6">
        <v>2024</v>
      </c>
      <c r="C6">
        <f>SUMPRODUCT(('Daily Data'!$A$4:$A$734&gt;=DATE(2024,3,1))*('Daily Data'!$A$4:$A$734&lt;DATE(2024,4,1))*'Daily Data'!$E$4:$E$734)</f>
        <v>93</v>
      </c>
      <c r="D6">
        <f>SUMPRODUCT(('Daily Data'!$A$4:$A$734&gt;=DATE(2024,3,1))*('Daily Data'!$A$4:$A$734&lt;DATE(2024,4,1))*'Daily Data'!$F$4:$F$734)</f>
        <v>154</v>
      </c>
      <c r="E6" s="19">
        <f>SUMPRODUCT(('Daily Data'!$A$4:$A$734&gt;=DATE(2024,3,1))*('Daily Data'!$A$4:$A$734&lt;DATE(2024,4,1))*'Daily Data'!$H$4:$H$734)</f>
        <v>96634</v>
      </c>
      <c r="F6" s="19">
        <f>SUMPRODUCT(('Daily Data'!$A$4:$A$734&gt;=DATE(2024,3,1))*('Daily Data'!$A$4:$A$734&lt;DATE(2024,4,1))*'Daily Data'!$I$4:$I$734)</f>
        <v>35903</v>
      </c>
      <c r="G6" s="20">
        <f t="shared" si="0"/>
        <v>0.72910960712857542</v>
      </c>
      <c r="H6" s="20">
        <f t="shared" si="1"/>
        <v>0.27089039287142458</v>
      </c>
      <c r="I6" t="str">
        <f t="shared" si="2"/>
        <v>▲ Increase</v>
      </c>
    </row>
    <row r="7" spans="1:9" x14ac:dyDescent="0.35">
      <c r="A7" t="s">
        <v>126</v>
      </c>
      <c r="B7">
        <v>2024</v>
      </c>
      <c r="C7">
        <f>SUMPRODUCT(('Daily Data'!$A$4:$A$734&gt;=DATE(2024,4,1))*('Daily Data'!$A$4:$A$734&lt;DATE(2024,5,1))*'Daily Data'!$E$4:$E$734)</f>
        <v>89</v>
      </c>
      <c r="D7">
        <f>SUMPRODUCT(('Daily Data'!$A$4:$A$734&gt;=DATE(2024,4,1))*('Daily Data'!$A$4:$A$734&lt;DATE(2024,5,1))*'Daily Data'!$F$4:$F$734)</f>
        <v>151</v>
      </c>
      <c r="E7" s="19">
        <f>SUMPRODUCT(('Daily Data'!$A$4:$A$734&gt;=DATE(2024,4,1))*('Daily Data'!$A$4:$A$734&lt;DATE(2024,5,1))*'Daily Data'!$H$4:$H$734)</f>
        <v>90539</v>
      </c>
      <c r="F7" s="19">
        <f>SUMPRODUCT(('Daily Data'!$A$4:$A$734&gt;=DATE(2024,4,1))*('Daily Data'!$A$4:$A$734&lt;DATE(2024,5,1))*'Daily Data'!$I$4:$I$734)</f>
        <v>36970</v>
      </c>
      <c r="G7" s="20">
        <f t="shared" si="0"/>
        <v>0.71005968206165837</v>
      </c>
      <c r="H7" s="20">
        <f t="shared" si="1"/>
        <v>0.28994031793834163</v>
      </c>
      <c r="I7" t="str">
        <f t="shared" si="2"/>
        <v>▼ Decrease</v>
      </c>
    </row>
    <row r="8" spans="1:9" x14ac:dyDescent="0.35">
      <c r="A8" t="s">
        <v>82</v>
      </c>
      <c r="B8">
        <v>2024</v>
      </c>
      <c r="C8">
        <f>SUMPRODUCT(('Daily Data'!$A$4:$A$734&gt;=DATE(2024,5,1))*('Daily Data'!$A$4:$A$734&lt;DATE(2024,6,1))*'Daily Data'!$E$4:$E$734)</f>
        <v>110</v>
      </c>
      <c r="D8">
        <f>SUMPRODUCT(('Daily Data'!$A$4:$A$734&gt;=DATE(2024,5,1))*('Daily Data'!$A$4:$A$734&lt;DATE(2024,6,1))*'Daily Data'!$F$4:$F$734)</f>
        <v>164</v>
      </c>
      <c r="E8" s="19">
        <f>SUMPRODUCT(('Daily Data'!$A$4:$A$734&gt;=DATE(2024,5,1))*('Daily Data'!$A$4:$A$734&lt;DATE(2024,6,1))*'Daily Data'!$H$4:$H$734)</f>
        <v>104012</v>
      </c>
      <c r="F8" s="19">
        <f>SUMPRODUCT(('Daily Data'!$A$4:$A$734&gt;=DATE(2024,5,1))*('Daily Data'!$A$4:$A$734&lt;DATE(2024,6,1))*'Daily Data'!$I$4:$I$734)</f>
        <v>41604</v>
      </c>
      <c r="G8" s="20">
        <f t="shared" si="0"/>
        <v>0.71428963850126359</v>
      </c>
      <c r="H8" s="20">
        <f t="shared" si="1"/>
        <v>0.28571036149873641</v>
      </c>
      <c r="I8" t="str">
        <f t="shared" si="2"/>
        <v>▲ Increase</v>
      </c>
    </row>
    <row r="9" spans="1:9" x14ac:dyDescent="0.35">
      <c r="A9" t="s">
        <v>127</v>
      </c>
      <c r="B9">
        <v>2024</v>
      </c>
      <c r="C9">
        <f>SUMPRODUCT(('Daily Data'!$A$4:$A$734&gt;=DATE(2024,6,1))*('Daily Data'!$A$4:$A$734&lt;DATE(2024,7,1))*'Daily Data'!$E$4:$E$734)</f>
        <v>64</v>
      </c>
      <c r="D9">
        <f>SUMPRODUCT(('Daily Data'!$A$4:$A$734&gt;=DATE(2024,6,1))*('Daily Data'!$A$4:$A$734&lt;DATE(2024,7,1))*'Daily Data'!$F$4:$F$734)</f>
        <v>137</v>
      </c>
      <c r="E9" s="19">
        <f>SUMPRODUCT(('Daily Data'!$A$4:$A$734&gt;=DATE(2024,6,1))*('Daily Data'!$A$4:$A$734&lt;DATE(2024,7,1))*'Daily Data'!$H$4:$H$734)</f>
        <v>76177</v>
      </c>
      <c r="F9" s="19">
        <f>SUMPRODUCT(('Daily Data'!$A$4:$A$734&gt;=DATE(2024,6,1))*('Daily Data'!$A$4:$A$734&lt;DATE(2024,7,1))*'Daily Data'!$I$4:$I$734)</f>
        <v>30102</v>
      </c>
      <c r="G9" s="20">
        <f t="shared" si="0"/>
        <v>0.71676436549083078</v>
      </c>
      <c r="H9" s="20">
        <f t="shared" si="1"/>
        <v>0.28323563450916928</v>
      </c>
      <c r="I9" t="str">
        <f t="shared" si="2"/>
        <v>▼ Decrease</v>
      </c>
    </row>
    <row r="10" spans="1:9" x14ac:dyDescent="0.35">
      <c r="A10" t="s">
        <v>128</v>
      </c>
      <c r="B10">
        <v>2024</v>
      </c>
      <c r="C10">
        <f>SUMPRODUCT(('Daily Data'!$A$4:$A$734&gt;=DATE(2024,7,1))*('Daily Data'!$A$4:$A$734&lt;DATE(2024,8,1))*'Daily Data'!$E$4:$E$734)</f>
        <v>44</v>
      </c>
      <c r="D10">
        <f>SUMPRODUCT(('Daily Data'!$A$4:$A$734&gt;=DATE(2024,7,1))*('Daily Data'!$A$4:$A$734&lt;DATE(2024,8,1))*'Daily Data'!$F$4:$F$734)</f>
        <v>137</v>
      </c>
      <c r="E10" s="19">
        <f>SUMPRODUCT(('Daily Data'!$A$4:$A$734&gt;=DATE(2024,7,1))*('Daily Data'!$A$4:$A$734&lt;DATE(2024,8,1))*'Daily Data'!$H$4:$H$734)</f>
        <v>60477</v>
      </c>
      <c r="F10" s="19">
        <f>SUMPRODUCT(('Daily Data'!$A$4:$A$734&gt;=DATE(2024,7,1))*('Daily Data'!$A$4:$A$734&lt;DATE(2024,8,1))*'Daily Data'!$I$4:$I$734)</f>
        <v>36084</v>
      </c>
      <c r="G10" s="20">
        <f t="shared" si="0"/>
        <v>0.6263087581943021</v>
      </c>
      <c r="H10" s="20">
        <f t="shared" si="1"/>
        <v>0.37369124180569796</v>
      </c>
      <c r="I10" t="str">
        <f t="shared" si="2"/>
        <v>▼ Decrease</v>
      </c>
    </row>
    <row r="11" spans="1:9" x14ac:dyDescent="0.35">
      <c r="A11" t="s">
        <v>129</v>
      </c>
      <c r="B11">
        <v>2024</v>
      </c>
      <c r="C11">
        <f>SUMPRODUCT(('Daily Data'!$A$4:$A$734&gt;=DATE(2024,8,1))*('Daily Data'!$A$4:$A$734&lt;DATE(2024,9,1))*'Daily Data'!$E$4:$E$734)</f>
        <v>54</v>
      </c>
      <c r="D11">
        <f>SUMPRODUCT(('Daily Data'!$A$4:$A$734&gt;=DATE(2024,8,1))*('Daily Data'!$A$4:$A$734&lt;DATE(2024,9,1))*'Daily Data'!$F$4:$F$734)</f>
        <v>138</v>
      </c>
      <c r="E11" s="19">
        <f>SUMPRODUCT(('Daily Data'!$A$4:$A$734&gt;=DATE(2024,8,1))*('Daily Data'!$A$4:$A$734&lt;DATE(2024,9,1))*'Daily Data'!$H$4:$H$734)</f>
        <v>68978</v>
      </c>
      <c r="F11" s="19">
        <f>SUMPRODUCT(('Daily Data'!$A$4:$A$734&gt;=DATE(2024,8,1))*('Daily Data'!$A$4:$A$734&lt;DATE(2024,9,1))*'Daily Data'!$I$4:$I$734)</f>
        <v>32957</v>
      </c>
      <c r="G11" s="20">
        <f t="shared" si="0"/>
        <v>0.67668612351007995</v>
      </c>
      <c r="H11" s="20">
        <f t="shared" si="1"/>
        <v>0.32331387648992005</v>
      </c>
      <c r="I11" t="str">
        <f t="shared" si="2"/>
        <v>▲ Increase</v>
      </c>
    </row>
    <row r="12" spans="1:9" x14ac:dyDescent="0.35">
      <c r="A12" t="s">
        <v>130</v>
      </c>
      <c r="B12">
        <v>2024</v>
      </c>
      <c r="C12">
        <f>SUMPRODUCT(('Daily Data'!$A$4:$A$734&gt;=DATE(2024,9,1))*('Daily Data'!$A$4:$A$734&lt;DATE(2024,10,1))*'Daily Data'!$E$4:$E$734)</f>
        <v>58</v>
      </c>
      <c r="D12">
        <f>SUMPRODUCT(('Daily Data'!$A$4:$A$734&gt;=DATE(2024,9,1))*('Daily Data'!$A$4:$A$734&lt;DATE(2024,10,1))*'Daily Data'!$F$4:$F$734)</f>
        <v>133</v>
      </c>
      <c r="E12" s="19">
        <f>SUMPRODUCT(('Daily Data'!$A$4:$A$734&gt;=DATE(2024,9,1))*('Daily Data'!$A$4:$A$734&lt;DATE(2024,10,1))*'Daily Data'!$H$4:$H$734)</f>
        <v>71908</v>
      </c>
      <c r="F12" s="19">
        <f>SUMPRODUCT(('Daily Data'!$A$4:$A$734&gt;=DATE(2024,9,1))*('Daily Data'!$A$4:$A$734&lt;DATE(2024,10,1))*'Daily Data'!$I$4:$I$734)</f>
        <v>30384</v>
      </c>
      <c r="G12" s="20">
        <f t="shared" si="0"/>
        <v>0.70296797403511513</v>
      </c>
      <c r="H12" s="20">
        <f t="shared" si="1"/>
        <v>0.29703202596488482</v>
      </c>
      <c r="I12" t="str">
        <f t="shared" si="2"/>
        <v>▲ Increase</v>
      </c>
    </row>
    <row r="13" spans="1:9" x14ac:dyDescent="0.35">
      <c r="A13" t="s">
        <v>131</v>
      </c>
      <c r="B13">
        <v>2024</v>
      </c>
      <c r="C13">
        <f>SUMPRODUCT(('Daily Data'!$A$4:$A$734&gt;=DATE(2024,10,1))*('Daily Data'!$A$4:$A$734&lt;DATE(2024,11,1))*'Daily Data'!$E$4:$E$734)</f>
        <v>77</v>
      </c>
      <c r="D13">
        <f>SUMPRODUCT(('Daily Data'!$A$4:$A$734&gt;=DATE(2024,10,1))*('Daily Data'!$A$4:$A$734&lt;DATE(2024,11,1))*'Daily Data'!$F$4:$F$734)</f>
        <v>145</v>
      </c>
      <c r="E13" s="19">
        <f>SUMPRODUCT(('Daily Data'!$A$4:$A$734&gt;=DATE(2024,10,1))*('Daily Data'!$A$4:$A$734&lt;DATE(2024,11,1))*'Daily Data'!$H$4:$H$734)</f>
        <v>87702</v>
      </c>
      <c r="F13" s="19">
        <f>SUMPRODUCT(('Daily Data'!$A$4:$A$734&gt;=DATE(2024,10,1))*('Daily Data'!$A$4:$A$734&lt;DATE(2024,11,1))*'Daily Data'!$I$4:$I$734)</f>
        <v>32051</v>
      </c>
      <c r="G13" s="20">
        <f t="shared" si="0"/>
        <v>0.73235743572186085</v>
      </c>
      <c r="H13" s="20">
        <f t="shared" si="1"/>
        <v>0.26764256427813915</v>
      </c>
      <c r="I13" t="str">
        <f t="shared" si="2"/>
        <v>▲ Increase</v>
      </c>
    </row>
    <row r="14" spans="1:9" x14ac:dyDescent="0.35">
      <c r="A14" t="s">
        <v>132</v>
      </c>
      <c r="B14">
        <v>2024</v>
      </c>
      <c r="C14">
        <f>SUMPRODUCT(('Daily Data'!$A$4:$A$734&gt;=DATE(2024,11,1))*('Daily Data'!$A$4:$A$734&lt;DATE(2024,12,1))*'Daily Data'!$E$4:$E$734)</f>
        <v>79</v>
      </c>
      <c r="D14">
        <f>SUMPRODUCT(('Daily Data'!$A$4:$A$734&gt;=DATE(2024,11,1))*('Daily Data'!$A$4:$A$734&lt;DATE(2024,12,1))*'Daily Data'!$F$4:$F$734)</f>
        <v>151</v>
      </c>
      <c r="E14" s="19">
        <f>SUMPRODUCT(('Daily Data'!$A$4:$A$734&gt;=DATE(2024,11,1))*('Daily Data'!$A$4:$A$734&lt;DATE(2024,12,1))*'Daily Data'!$H$4:$H$734)</f>
        <v>86737</v>
      </c>
      <c r="F14" s="19">
        <f>SUMPRODUCT(('Daily Data'!$A$4:$A$734&gt;=DATE(2024,11,1))*('Daily Data'!$A$4:$A$734&lt;DATE(2024,12,1))*'Daily Data'!$I$4:$I$734)</f>
        <v>35691</v>
      </c>
      <c r="G14" s="20">
        <f t="shared" si="0"/>
        <v>0.70847355180187543</v>
      </c>
      <c r="H14" s="20">
        <f t="shared" si="1"/>
        <v>0.29152644819812462</v>
      </c>
      <c r="I14" t="str">
        <f t="shared" si="2"/>
        <v>▲ Increase</v>
      </c>
    </row>
    <row r="15" spans="1:9" x14ac:dyDescent="0.35">
      <c r="A15" t="s">
        <v>133</v>
      </c>
      <c r="B15">
        <v>2024</v>
      </c>
      <c r="C15">
        <f>SUMPRODUCT(('Daily Data'!$A$4:$A$734&gt;=DATE(2024,12,1))*('Daily Data'!$A$4:$A$734&lt;DATE(2025,1,1))*'Daily Data'!$E$4:$E$734)</f>
        <v>247</v>
      </c>
      <c r="D15">
        <f>SUMPRODUCT(('Daily Data'!$A$4:$A$734&gt;=DATE(2024,12,1))*('Daily Data'!$A$4:$A$734&lt;DATE(2025,1,1))*'Daily Data'!$F$4:$F$734)</f>
        <v>265</v>
      </c>
      <c r="E15" s="19">
        <f>SUMPRODUCT(('Daily Data'!$A$4:$A$734&gt;=DATE(2024,12,1))*('Daily Data'!$A$4:$A$734&lt;DATE(2025,1,1))*'Daily Data'!$H$4:$H$734)</f>
        <v>187237</v>
      </c>
      <c r="F15" s="19">
        <f>SUMPRODUCT(('Daily Data'!$A$4:$A$734&gt;=DATE(2024,12,1))*('Daily Data'!$A$4:$A$734&lt;DATE(2025,1,1))*'Daily Data'!$I$4:$I$734)</f>
        <v>84645</v>
      </c>
      <c r="G15" s="20">
        <f t="shared" si="0"/>
        <v>0.68867008481620706</v>
      </c>
      <c r="H15" s="20">
        <f t="shared" si="1"/>
        <v>0.31132991518379299</v>
      </c>
      <c r="I15" t="str">
        <f t="shared" si="2"/>
        <v>▲ Increase</v>
      </c>
    </row>
    <row r="16" spans="1:9" x14ac:dyDescent="0.35">
      <c r="A16" t="s">
        <v>123</v>
      </c>
      <c r="B16">
        <v>2025</v>
      </c>
      <c r="C16">
        <f>SUMPRODUCT(('Daily Data'!$A$4:$A$734&gt;=DATE(2025,1,1))*('Daily Data'!$A$4:$A$734&lt;DATE(2025,2,1))*'Daily Data'!$E$4:$E$734)</f>
        <v>43</v>
      </c>
      <c r="D16">
        <f>SUMPRODUCT(('Daily Data'!$A$4:$A$734&gt;=DATE(2025,1,1))*('Daily Data'!$A$4:$A$734&lt;DATE(2025,2,1))*'Daily Data'!$F$4:$F$734)</f>
        <v>138</v>
      </c>
      <c r="E16" s="19">
        <f>SUMPRODUCT(('Daily Data'!$A$4:$A$734&gt;=DATE(2025,1,1))*('Daily Data'!$A$4:$A$734&lt;DATE(2025,2,1))*'Daily Data'!$H$4:$H$734)</f>
        <v>59797</v>
      </c>
      <c r="F16" s="19">
        <f>SUMPRODUCT(('Daily Data'!$A$4:$A$734&gt;=DATE(2025,1,1))*('Daily Data'!$A$4:$A$734&lt;DATE(2025,2,1))*'Daily Data'!$I$4:$I$734)</f>
        <v>36693</v>
      </c>
      <c r="G16" s="20">
        <f t="shared" si="0"/>
        <v>0.61972225101046741</v>
      </c>
      <c r="H16" s="20">
        <f t="shared" si="1"/>
        <v>0.38027774898953259</v>
      </c>
      <c r="I16" t="str">
        <f t="shared" si="2"/>
        <v>▼ Decrease</v>
      </c>
    </row>
    <row r="17" spans="1:9" x14ac:dyDescent="0.35">
      <c r="A17" t="s">
        <v>124</v>
      </c>
      <c r="B17">
        <v>2025</v>
      </c>
      <c r="C17">
        <f>SUMPRODUCT(('Daily Data'!$A$4:$A$734&gt;=DATE(2025,2,1))*('Daily Data'!$A$4:$A$734&lt;DATE(2025,3,1))*'Daily Data'!$E$4:$E$734)</f>
        <v>81</v>
      </c>
      <c r="D17">
        <f>SUMPRODUCT(('Daily Data'!$A$4:$A$734&gt;=DATE(2025,2,1))*('Daily Data'!$A$4:$A$734&lt;DATE(2025,3,1))*'Daily Data'!$F$4:$F$734)</f>
        <v>136</v>
      </c>
      <c r="E17" s="19">
        <f>SUMPRODUCT(('Daily Data'!$A$4:$A$734&gt;=DATE(2025,2,1))*('Daily Data'!$A$4:$A$734&lt;DATE(2025,3,1))*'Daily Data'!$H$4:$H$734)</f>
        <v>85699</v>
      </c>
      <c r="F17" s="19">
        <f>SUMPRODUCT(('Daily Data'!$A$4:$A$734&gt;=DATE(2025,2,1))*('Daily Data'!$A$4:$A$734&lt;DATE(2025,3,1))*'Daily Data'!$I$4:$I$734)</f>
        <v>30031</v>
      </c>
      <c r="G17" s="20">
        <f t="shared" si="0"/>
        <v>0.74050807914974515</v>
      </c>
      <c r="H17" s="20">
        <f t="shared" si="1"/>
        <v>0.25949192085025491</v>
      </c>
      <c r="I17" t="str">
        <f t="shared" si="2"/>
        <v>▲ Increase</v>
      </c>
    </row>
    <row r="18" spans="1:9" x14ac:dyDescent="0.35">
      <c r="A18" t="s">
        <v>125</v>
      </c>
      <c r="B18">
        <v>2025</v>
      </c>
      <c r="C18">
        <f>SUMPRODUCT(('Daily Data'!$A$4:$A$734&gt;=DATE(2025,3,1))*('Daily Data'!$A$4:$A$734&lt;DATE(2025,4,1))*'Daily Data'!$E$4:$E$734)</f>
        <v>87</v>
      </c>
      <c r="D18">
        <f>SUMPRODUCT(('Daily Data'!$A$4:$A$734&gt;=DATE(2025,3,1))*('Daily Data'!$A$4:$A$734&lt;DATE(2025,4,1))*'Daily Data'!$F$4:$F$734)</f>
        <v>151</v>
      </c>
      <c r="E18" s="19">
        <f>SUMPRODUCT(('Daily Data'!$A$4:$A$734&gt;=DATE(2025,3,1))*('Daily Data'!$A$4:$A$734&lt;DATE(2025,4,1))*'Daily Data'!$H$4:$H$734)</f>
        <v>87839</v>
      </c>
      <c r="F18" s="19">
        <f>SUMPRODUCT(('Daily Data'!$A$4:$A$734&gt;=DATE(2025,3,1))*('Daily Data'!$A$4:$A$734&lt;DATE(2025,4,1))*'Daily Data'!$I$4:$I$734)</f>
        <v>37003</v>
      </c>
      <c r="G18" s="20">
        <f t="shared" si="0"/>
        <v>0.70360135210906583</v>
      </c>
      <c r="H18" s="20">
        <f t="shared" si="1"/>
        <v>0.29639864789093412</v>
      </c>
      <c r="I18" t="str">
        <f t="shared" si="2"/>
        <v>▲ Increase</v>
      </c>
    </row>
    <row r="19" spans="1:9" x14ac:dyDescent="0.35">
      <c r="A19" t="s">
        <v>126</v>
      </c>
      <c r="B19">
        <v>2025</v>
      </c>
      <c r="C19">
        <f>SUMPRODUCT(('Daily Data'!$A$4:$A$734&gt;=DATE(2025,4,1))*('Daily Data'!$A$4:$A$734&lt;DATE(2025,5,1))*'Daily Data'!$E$4:$E$734)</f>
        <v>67</v>
      </c>
      <c r="D19">
        <f>SUMPRODUCT(('Daily Data'!$A$4:$A$734&gt;=DATE(2025,4,1))*('Daily Data'!$A$4:$A$734&lt;DATE(2025,5,1))*'Daily Data'!$F$4:$F$734)</f>
        <v>141</v>
      </c>
      <c r="E19" s="19">
        <f>SUMPRODUCT(('Daily Data'!$A$4:$A$734&gt;=DATE(2025,4,1))*('Daily Data'!$A$4:$A$734&lt;DATE(2025,5,1))*'Daily Data'!$H$4:$H$734)</f>
        <v>77669</v>
      </c>
      <c r="F19" s="19">
        <f>SUMPRODUCT(('Daily Data'!$A$4:$A$734&gt;=DATE(2025,4,1))*('Daily Data'!$A$4:$A$734&lt;DATE(2025,5,1))*'Daily Data'!$I$4:$I$734)</f>
        <v>31811</v>
      </c>
      <c r="G19" s="20">
        <f t="shared" si="0"/>
        <v>0.70943551333576904</v>
      </c>
      <c r="H19" s="20">
        <f t="shared" si="1"/>
        <v>0.2905644866642309</v>
      </c>
      <c r="I19" t="str">
        <f t="shared" si="2"/>
        <v>▼ Decrease</v>
      </c>
    </row>
    <row r="20" spans="1:9" x14ac:dyDescent="0.35">
      <c r="A20" t="s">
        <v>82</v>
      </c>
      <c r="B20">
        <v>2025</v>
      </c>
      <c r="C20">
        <f>SUMPRODUCT(('Daily Data'!$A$4:$A$734&gt;=DATE(2025,5,1))*('Daily Data'!$A$4:$A$734&lt;DATE(2025,6,1))*'Daily Data'!$E$4:$E$734)</f>
        <v>88</v>
      </c>
      <c r="D20">
        <f>SUMPRODUCT(('Daily Data'!$A$4:$A$734&gt;=DATE(2025,5,1))*('Daily Data'!$A$4:$A$734&lt;DATE(2025,6,1))*'Daily Data'!$F$4:$F$734)</f>
        <v>150</v>
      </c>
      <c r="E20" s="19">
        <f>SUMPRODUCT(('Daily Data'!$A$4:$A$734&gt;=DATE(2025,5,1))*('Daily Data'!$A$4:$A$734&lt;DATE(2025,6,1))*'Daily Data'!$H$4:$H$734)</f>
        <v>88673</v>
      </c>
      <c r="F20" s="19">
        <f>SUMPRODUCT(('Daily Data'!$A$4:$A$734&gt;=DATE(2025,5,1))*('Daily Data'!$A$4:$A$734&lt;DATE(2025,6,1))*'Daily Data'!$I$4:$I$734)</f>
        <v>35928</v>
      </c>
      <c r="G20" s="20">
        <f t="shared" si="0"/>
        <v>0.71165560469017097</v>
      </c>
      <c r="H20" s="20">
        <f t="shared" si="1"/>
        <v>0.28834439530982897</v>
      </c>
      <c r="I20" t="str">
        <f t="shared" si="2"/>
        <v>▲ Increase</v>
      </c>
    </row>
    <row r="21" spans="1:9" x14ac:dyDescent="0.35">
      <c r="A21" t="s">
        <v>127</v>
      </c>
      <c r="B21">
        <v>2025</v>
      </c>
      <c r="C21">
        <f>SUMPRODUCT(('Daily Data'!$A$4:$A$734&gt;=DATE(2025,6,1))*('Daily Data'!$A$4:$A$734&lt;DATE(2025,7,1))*'Daily Data'!$E$4:$E$734)</f>
        <v>62</v>
      </c>
      <c r="D21">
        <f>SUMPRODUCT(('Daily Data'!$A$4:$A$734&gt;=DATE(2025,6,1))*('Daily Data'!$A$4:$A$734&lt;DATE(2025,7,1))*'Daily Data'!$F$4:$F$734)</f>
        <v>137</v>
      </c>
      <c r="E21" s="19">
        <f>SUMPRODUCT(('Daily Data'!$A$4:$A$734&gt;=DATE(2025,6,1))*('Daily Data'!$A$4:$A$734&lt;DATE(2025,7,1))*'Daily Data'!$H$4:$H$734)</f>
        <v>73984</v>
      </c>
      <c r="F21" s="19">
        <f>SUMPRODUCT(('Daily Data'!$A$4:$A$734&gt;=DATE(2025,6,1))*('Daily Data'!$A$4:$A$734&lt;DATE(2025,7,1))*'Daily Data'!$I$4:$I$734)</f>
        <v>32337</v>
      </c>
      <c r="G21" s="20">
        <f t="shared" si="0"/>
        <v>0.69585500512598641</v>
      </c>
      <c r="H21" s="20">
        <f t="shared" si="1"/>
        <v>0.30414499487401359</v>
      </c>
      <c r="I21" t="str">
        <f t="shared" si="2"/>
        <v>▼ Decrease</v>
      </c>
    </row>
    <row r="22" spans="1:9" x14ac:dyDescent="0.35">
      <c r="A22" t="s">
        <v>128</v>
      </c>
      <c r="B22">
        <v>2025</v>
      </c>
      <c r="C22">
        <f>SUMPRODUCT(('Daily Data'!$A$4:$A$734&gt;=DATE(2025,7,1))*('Daily Data'!$A$4:$A$734&lt;DATE(2025,8,1))*'Daily Data'!$E$4:$E$734)</f>
        <v>55</v>
      </c>
      <c r="D22">
        <f>SUMPRODUCT(('Daily Data'!$A$4:$A$734&gt;=DATE(2025,7,1))*('Daily Data'!$A$4:$A$734&lt;DATE(2025,8,1))*'Daily Data'!$F$4:$F$734)</f>
        <v>137</v>
      </c>
      <c r="E22" s="19">
        <f>SUMPRODUCT(('Daily Data'!$A$4:$A$734&gt;=DATE(2025,7,1))*('Daily Data'!$A$4:$A$734&lt;DATE(2025,8,1))*'Daily Data'!$H$4:$H$734)</f>
        <v>70105</v>
      </c>
      <c r="F22" s="19">
        <f>SUMPRODUCT(('Daily Data'!$A$4:$A$734&gt;=DATE(2025,7,1))*('Daily Data'!$A$4:$A$734&lt;DATE(2025,8,1))*'Daily Data'!$I$4:$I$734)</f>
        <v>30898</v>
      </c>
      <c r="G22" s="20">
        <f t="shared" si="0"/>
        <v>0.69408829440709685</v>
      </c>
      <c r="H22" s="20">
        <f t="shared" si="1"/>
        <v>0.3059117055929032</v>
      </c>
      <c r="I22" t="str">
        <f t="shared" si="2"/>
        <v>▼ Decrease</v>
      </c>
    </row>
    <row r="23" spans="1:9" x14ac:dyDescent="0.35">
      <c r="A23" t="s">
        <v>129</v>
      </c>
      <c r="B23">
        <v>2025</v>
      </c>
      <c r="C23">
        <f>SUMPRODUCT(('Daily Data'!$A$4:$A$734&gt;=DATE(2025,8,1))*('Daily Data'!$A$4:$A$734&lt;DATE(2025,9,1))*'Daily Data'!$E$4:$E$734)</f>
        <v>61</v>
      </c>
      <c r="D23">
        <f>SUMPRODUCT(('Daily Data'!$A$4:$A$734&gt;=DATE(2025,8,1))*('Daily Data'!$A$4:$A$734&lt;DATE(2025,9,1))*'Daily Data'!$F$4:$F$734)</f>
        <v>138</v>
      </c>
      <c r="E23" s="19">
        <f>SUMPRODUCT(('Daily Data'!$A$4:$A$734&gt;=DATE(2025,8,1))*('Daily Data'!$A$4:$A$734&lt;DATE(2025,9,1))*'Daily Data'!$H$4:$H$734)</f>
        <v>74146</v>
      </c>
      <c r="F23" s="19">
        <f>SUMPRODUCT(('Daily Data'!$A$4:$A$734&gt;=DATE(2025,8,1))*('Daily Data'!$A$4:$A$734&lt;DATE(2025,9,1))*'Daily Data'!$I$4:$I$734)</f>
        <v>29800</v>
      </c>
      <c r="G23" s="20">
        <f t="shared" si="0"/>
        <v>0.71331268158466898</v>
      </c>
      <c r="H23" s="20">
        <f t="shared" si="1"/>
        <v>0.28668731841533102</v>
      </c>
      <c r="I23" t="str">
        <f t="shared" si="2"/>
        <v>▲ Increase</v>
      </c>
    </row>
    <row r="24" spans="1:9" x14ac:dyDescent="0.35">
      <c r="A24" t="s">
        <v>130</v>
      </c>
      <c r="B24">
        <v>2025</v>
      </c>
      <c r="C24">
        <f>SUMPRODUCT(('Daily Data'!$A$4:$A$734&gt;=DATE(2025,9,1))*('Daily Data'!$A$4:$A$734&lt;DATE(2025,10,1))*'Daily Data'!$E$4:$E$734)</f>
        <v>60</v>
      </c>
      <c r="D24">
        <f>SUMPRODUCT(('Daily Data'!$A$4:$A$734&gt;=DATE(2025,9,1))*('Daily Data'!$A$4:$A$734&lt;DATE(2025,10,1))*'Daily Data'!$F$4:$F$734)</f>
        <v>138</v>
      </c>
      <c r="E24" s="19">
        <f>SUMPRODUCT(('Daily Data'!$A$4:$A$734&gt;=DATE(2025,9,1))*('Daily Data'!$A$4:$A$734&lt;DATE(2025,10,1))*'Daily Data'!$H$4:$H$734)</f>
        <v>71536</v>
      </c>
      <c r="F24" s="19">
        <f>SUMPRODUCT(('Daily Data'!$A$4:$A$734&gt;=DATE(2025,9,1))*('Daily Data'!$A$4:$A$734&lt;DATE(2025,10,1))*'Daily Data'!$I$4:$I$734)</f>
        <v>33824</v>
      </c>
      <c r="G24" s="20">
        <f t="shared" si="0"/>
        <v>0.67896735003796505</v>
      </c>
      <c r="H24" s="20">
        <f t="shared" si="1"/>
        <v>0.32103264996203495</v>
      </c>
      <c r="I24" t="str">
        <f t="shared" si="2"/>
        <v>▲ Increase</v>
      </c>
    </row>
    <row r="25" spans="1:9" x14ac:dyDescent="0.35">
      <c r="A25" t="s">
        <v>131</v>
      </c>
      <c r="B25">
        <v>2025</v>
      </c>
      <c r="C25">
        <f>SUMPRODUCT(('Daily Data'!$A$4:$A$734&gt;=DATE(2025,10,1))*('Daily Data'!$A$4:$A$734&lt;DATE(2025,11,1))*'Daily Data'!$E$4:$E$734)</f>
        <v>84</v>
      </c>
      <c r="D25">
        <f>SUMPRODUCT(('Daily Data'!$A$4:$A$734&gt;=DATE(2025,10,1))*('Daily Data'!$A$4:$A$734&lt;DATE(2025,11,1))*'Daily Data'!$F$4:$F$734)</f>
        <v>150</v>
      </c>
      <c r="E25" s="19">
        <f>SUMPRODUCT(('Daily Data'!$A$4:$A$734&gt;=DATE(2025,10,1))*('Daily Data'!$A$4:$A$734&lt;DATE(2025,11,1))*'Daily Data'!$H$4:$H$734)</f>
        <v>89537</v>
      </c>
      <c r="F25" s="19">
        <f>SUMPRODUCT(('Daily Data'!$A$4:$A$734&gt;=DATE(2025,10,1))*('Daily Data'!$A$4:$A$734&lt;DATE(2025,11,1))*'Daily Data'!$I$4:$I$734)</f>
        <v>33524</v>
      </c>
      <c r="G25" s="20">
        <f t="shared" si="0"/>
        <v>0.7275822559543641</v>
      </c>
      <c r="H25" s="20">
        <f t="shared" si="1"/>
        <v>0.2724177440456359</v>
      </c>
      <c r="I25" t="str">
        <f t="shared" si="2"/>
        <v>▲ Increase</v>
      </c>
    </row>
    <row r="26" spans="1:9" x14ac:dyDescent="0.35">
      <c r="A26" t="s">
        <v>132</v>
      </c>
      <c r="B26">
        <v>2025</v>
      </c>
      <c r="C26">
        <f>SUMPRODUCT(('Daily Data'!$A$4:$A$734&gt;=DATE(2025,11,1))*('Daily Data'!$A$4:$A$734&lt;DATE(2025,12,1))*'Daily Data'!$E$4:$E$734)</f>
        <v>92</v>
      </c>
      <c r="D26">
        <f>SUMPRODUCT(('Daily Data'!$A$4:$A$734&gt;=DATE(2025,11,1))*('Daily Data'!$A$4:$A$734&lt;DATE(2025,12,1))*'Daily Data'!$F$4:$F$734)</f>
        <v>150</v>
      </c>
      <c r="E26" s="19">
        <f>SUMPRODUCT(('Daily Data'!$A$4:$A$734&gt;=DATE(2025,11,1))*('Daily Data'!$A$4:$A$734&lt;DATE(2025,12,1))*'Daily Data'!$H$4:$H$734)</f>
        <v>92496</v>
      </c>
      <c r="F26" s="19">
        <f>SUMPRODUCT(('Daily Data'!$A$4:$A$734&gt;=DATE(2025,11,1))*('Daily Data'!$A$4:$A$734&lt;DATE(2025,12,1))*'Daily Data'!$I$4:$I$734)</f>
        <v>35336</v>
      </c>
      <c r="G26" s="20">
        <f t="shared" si="0"/>
        <v>0.72357469178296518</v>
      </c>
      <c r="H26" s="20">
        <f t="shared" si="1"/>
        <v>0.27642530821703487</v>
      </c>
      <c r="I26" t="str">
        <f t="shared" si="2"/>
        <v>▲ Increase</v>
      </c>
    </row>
    <row r="27" spans="1:9" x14ac:dyDescent="0.35">
      <c r="A27" t="s">
        <v>133</v>
      </c>
      <c r="B27">
        <v>2025</v>
      </c>
      <c r="C27">
        <f>SUMPRODUCT(('Daily Data'!$A$4:$A$734&gt;=DATE(2025,12,1))*('Daily Data'!$A$4:$A$734&lt;DATE(2026,1,1))*'Daily Data'!$E$4:$E$734)</f>
        <v>260</v>
      </c>
      <c r="D27">
        <f>SUMPRODUCT(('Daily Data'!$A$4:$A$734&gt;=DATE(2025,12,1))*('Daily Data'!$A$4:$A$734&lt;DATE(2026,1,1))*'Daily Data'!$F$4:$F$734)</f>
        <v>258</v>
      </c>
      <c r="E27" s="19">
        <f>SUMPRODUCT(('Daily Data'!$A$4:$A$734&gt;=DATE(2025,12,1))*('Daily Data'!$A$4:$A$734&lt;DATE(2026,1,1))*'Daily Data'!$H$4:$H$734)</f>
        <v>193239</v>
      </c>
      <c r="F27" s="19">
        <f>SUMPRODUCT(('Daily Data'!$A$4:$A$734&gt;=DATE(2025,12,1))*('Daily Data'!$A$4:$A$734&lt;DATE(2026,1,1))*'Daily Data'!$I$4:$I$734)</f>
        <v>82384</v>
      </c>
      <c r="G27" s="20">
        <f t="shared" si="0"/>
        <v>0.70109896489044821</v>
      </c>
      <c r="H27" s="20">
        <f t="shared" si="1"/>
        <v>0.29890103510955179</v>
      </c>
      <c r="I27" t="str">
        <f t="shared" si="2"/>
        <v>▲ Increase</v>
      </c>
    </row>
    <row r="28" spans="1:9" x14ac:dyDescent="0.35">
      <c r="A28" s="21" t="s">
        <v>134</v>
      </c>
      <c r="B28" s="22"/>
      <c r="C28" s="25">
        <f>AVERAGE(C4:C27)</f>
        <v>86.708333333333329</v>
      </c>
      <c r="D28" s="25">
        <f>AVERAGE(D4:D27)</f>
        <v>152.91666666666666</v>
      </c>
      <c r="E28" s="23">
        <f>AVERAGE(E4:E27)</f>
        <v>89457.791666666672</v>
      </c>
      <c r="F28" s="23">
        <f>AVERAGE(F4:F27)</f>
        <v>37770.625</v>
      </c>
      <c r="G28" s="24">
        <f t="shared" si="0"/>
        <v>0.70312744597806698</v>
      </c>
      <c r="H28" s="24">
        <f t="shared" si="1"/>
        <v>0.29687255402193297</v>
      </c>
      <c r="I28" s="22"/>
    </row>
    <row r="30" spans="1:9" x14ac:dyDescent="0.35">
      <c r="A30" s="26" t="s">
        <v>135</v>
      </c>
      <c r="B30" s="27"/>
      <c r="C30" s="28">
        <f>C27*(0.8/1.55)</f>
        <v>134.19354838709677</v>
      </c>
      <c r="D30" s="28">
        <f>D27*(0.8/1.55)</f>
        <v>133.16129032258064</v>
      </c>
      <c r="E30" s="29">
        <f>E27*(0.8/1.55)</f>
        <v>99736.258064516122</v>
      </c>
      <c r="F30" s="29">
        <f>F27*(0.8/1.55)</f>
        <v>42520.774193548386</v>
      </c>
      <c r="G30" s="30">
        <f>E30/(E30+F30)</f>
        <v>0.7010989648904481</v>
      </c>
      <c r="H30" s="30">
        <f>F30/(E30+F30)</f>
        <v>0.29890103510955179</v>
      </c>
      <c r="I30" s="31" t="s">
        <v>136</v>
      </c>
    </row>
  </sheetData>
  <mergeCells count="2">
    <mergeCell ref="A1:I1"/>
    <mergeCell ref="A2:I2"/>
  </mergeCells>
  <conditionalFormatting sqref="I5:I27">
    <cfRule type="expression" dxfId="7" priority="2">
      <formula>LEFT(I5,1)="▲"</formula>
    </cfRule>
    <cfRule type="expression" dxfId="6" priority="3">
      <formula>LEFT(I5,1)="▼"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77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4" sqref="J4"/>
    </sheetView>
  </sheetViews>
  <sheetFormatPr defaultColWidth="8.6328125" defaultRowHeight="14.5" x14ac:dyDescent="0.35"/>
  <cols>
    <col min="1" max="1" width="22.7265625" bestFit="1" customWidth="1"/>
    <col min="2" max="2" width="7" bestFit="1" customWidth="1"/>
    <col min="3" max="3" width="7.7265625" bestFit="1" customWidth="1"/>
    <col min="4" max="4" width="16.08984375" bestFit="1" customWidth="1"/>
    <col min="5" max="5" width="11.90625" bestFit="1" customWidth="1"/>
    <col min="6" max="6" width="5.7265625" bestFit="1" customWidth="1"/>
    <col min="7" max="7" width="16" bestFit="1" customWidth="1"/>
    <col min="8" max="8" width="12.08984375" bestFit="1" customWidth="1"/>
    <col min="9" max="9" width="43.81640625" bestFit="1" customWidth="1"/>
  </cols>
  <sheetData>
    <row r="1" spans="1:9" ht="18" x14ac:dyDescent="0.35">
      <c r="A1" s="3" t="s">
        <v>137</v>
      </c>
      <c r="B1" s="3"/>
      <c r="C1" s="3"/>
      <c r="D1" s="3"/>
      <c r="E1" s="3"/>
      <c r="F1" s="3"/>
      <c r="G1" s="3"/>
      <c r="H1" s="3"/>
      <c r="I1" s="3"/>
    </row>
    <row r="2" spans="1:9" ht="27.75" customHeight="1" x14ac:dyDescent="0.35">
      <c r="A2" s="11" t="s">
        <v>138</v>
      </c>
      <c r="B2" s="11"/>
      <c r="C2" s="11"/>
      <c r="D2" s="11"/>
      <c r="E2" s="11"/>
      <c r="F2" s="11"/>
      <c r="G2" s="11"/>
      <c r="H2" s="11"/>
      <c r="I2" s="11"/>
    </row>
    <row r="3" spans="1:9" x14ac:dyDescent="0.35">
      <c r="A3" s="13" t="s">
        <v>139</v>
      </c>
      <c r="B3" s="13" t="s">
        <v>140</v>
      </c>
      <c r="C3" s="13" t="s">
        <v>141</v>
      </c>
      <c r="D3" s="13" t="s">
        <v>142</v>
      </c>
      <c r="E3" s="13" t="s">
        <v>143</v>
      </c>
      <c r="F3" s="13" t="s">
        <v>144</v>
      </c>
      <c r="G3" s="13" t="s">
        <v>145</v>
      </c>
      <c r="H3" s="13" t="s">
        <v>146</v>
      </c>
      <c r="I3" s="13" t="s">
        <v>147</v>
      </c>
    </row>
    <row r="4" spans="1:9" x14ac:dyDescent="0.35">
      <c r="A4" s="15" t="s">
        <v>148</v>
      </c>
      <c r="B4" s="15" t="s">
        <v>149</v>
      </c>
      <c r="C4" s="15" t="s">
        <v>150</v>
      </c>
      <c r="D4" s="15">
        <v>289</v>
      </c>
      <c r="E4" s="15">
        <v>85</v>
      </c>
      <c r="F4" s="15">
        <v>109</v>
      </c>
      <c r="G4" s="15">
        <v>265</v>
      </c>
      <c r="H4" s="32" t="s">
        <v>151</v>
      </c>
      <c r="I4" s="15" t="s">
        <v>152</v>
      </c>
    </row>
    <row r="5" spans="1:9" x14ac:dyDescent="0.35">
      <c r="A5" s="15"/>
      <c r="B5" s="15"/>
      <c r="C5" s="15" t="s">
        <v>153</v>
      </c>
      <c r="D5" s="15">
        <v>265</v>
      </c>
      <c r="E5" s="15">
        <v>115</v>
      </c>
      <c r="F5" s="15">
        <v>138</v>
      </c>
      <c r="G5" s="15">
        <v>242</v>
      </c>
      <c r="H5" s="33" t="s">
        <v>154</v>
      </c>
      <c r="I5" s="15" t="s">
        <v>155</v>
      </c>
    </row>
    <row r="6" spans="1:9" x14ac:dyDescent="0.35">
      <c r="A6" s="15"/>
      <c r="B6" s="15"/>
      <c r="C6" s="15" t="s">
        <v>156</v>
      </c>
      <c r="D6" s="15">
        <v>242</v>
      </c>
      <c r="E6" s="15">
        <v>129</v>
      </c>
      <c r="F6" s="15">
        <v>147</v>
      </c>
      <c r="G6" s="15">
        <v>224</v>
      </c>
      <c r="H6" s="33" t="s">
        <v>154</v>
      </c>
      <c r="I6" s="15" t="s">
        <v>155</v>
      </c>
    </row>
    <row r="7" spans="1:9" x14ac:dyDescent="0.35">
      <c r="A7" s="15"/>
      <c r="B7" s="15"/>
      <c r="C7" s="15" t="s">
        <v>157</v>
      </c>
      <c r="D7" s="15">
        <v>224</v>
      </c>
      <c r="E7" s="15">
        <v>112</v>
      </c>
      <c r="F7" s="15">
        <v>131</v>
      </c>
      <c r="G7" s="15">
        <v>205</v>
      </c>
      <c r="H7" s="33" t="s">
        <v>154</v>
      </c>
      <c r="I7" s="15" t="s">
        <v>155</v>
      </c>
    </row>
    <row r="8" spans="1:9" x14ac:dyDescent="0.35">
      <c r="A8" s="15"/>
      <c r="B8" s="15"/>
      <c r="C8" s="15" t="s">
        <v>158</v>
      </c>
      <c r="D8" s="15">
        <v>205</v>
      </c>
      <c r="E8" s="15">
        <v>121</v>
      </c>
      <c r="F8" s="15">
        <v>143</v>
      </c>
      <c r="G8" s="15">
        <v>183</v>
      </c>
      <c r="H8" s="33" t="s">
        <v>154</v>
      </c>
      <c r="I8" s="15" t="s">
        <v>155</v>
      </c>
    </row>
    <row r="9" spans="1:9" x14ac:dyDescent="0.35">
      <c r="A9" s="15"/>
      <c r="B9" s="15"/>
      <c r="C9" s="15" t="s">
        <v>159</v>
      </c>
      <c r="D9" s="15">
        <v>183</v>
      </c>
      <c r="E9" s="15">
        <v>88</v>
      </c>
      <c r="F9" s="15">
        <v>111</v>
      </c>
      <c r="G9" s="15">
        <v>160</v>
      </c>
      <c r="H9" s="33" t="s">
        <v>154</v>
      </c>
      <c r="I9" s="15" t="s">
        <v>155</v>
      </c>
    </row>
    <row r="10" spans="1:9" x14ac:dyDescent="0.35">
      <c r="A10" s="15"/>
      <c r="B10" s="15"/>
      <c r="C10" s="15" t="s">
        <v>160</v>
      </c>
      <c r="D10" s="15">
        <v>160</v>
      </c>
      <c r="E10" s="15">
        <v>94</v>
      </c>
      <c r="F10" s="15">
        <v>108</v>
      </c>
      <c r="G10" s="15">
        <v>146</v>
      </c>
      <c r="H10" s="33" t="s">
        <v>154</v>
      </c>
      <c r="I10" s="15" t="s">
        <v>155</v>
      </c>
    </row>
    <row r="11" spans="1:9" x14ac:dyDescent="0.35">
      <c r="A11" s="15"/>
      <c r="B11" s="15"/>
      <c r="C11" s="15" t="s">
        <v>161</v>
      </c>
      <c r="D11" s="15">
        <v>146</v>
      </c>
      <c r="E11" s="15">
        <v>80</v>
      </c>
      <c r="F11" s="15">
        <v>106</v>
      </c>
      <c r="G11" s="15">
        <v>120</v>
      </c>
      <c r="H11" s="33" t="s">
        <v>154</v>
      </c>
      <c r="I11" s="15" t="s">
        <v>155</v>
      </c>
    </row>
    <row r="12" spans="1:9" x14ac:dyDescent="0.35">
      <c r="A12" s="15"/>
      <c r="B12" s="15"/>
      <c r="C12" s="15" t="s">
        <v>162</v>
      </c>
      <c r="D12" s="15">
        <v>120</v>
      </c>
      <c r="E12" s="15">
        <v>107</v>
      </c>
      <c r="F12" s="15">
        <v>121</v>
      </c>
      <c r="G12" s="15">
        <v>106</v>
      </c>
      <c r="H12" s="33" t="s">
        <v>154</v>
      </c>
      <c r="I12" s="15" t="s">
        <v>155</v>
      </c>
    </row>
    <row r="13" spans="1:9" x14ac:dyDescent="0.35">
      <c r="A13" s="15"/>
      <c r="B13" s="15"/>
      <c r="C13" s="15" t="s">
        <v>163</v>
      </c>
      <c r="D13" s="15">
        <v>106</v>
      </c>
      <c r="E13" s="15">
        <v>107</v>
      </c>
      <c r="F13" s="15">
        <v>134</v>
      </c>
      <c r="G13" s="15">
        <v>79</v>
      </c>
      <c r="H13" s="33" t="s">
        <v>154</v>
      </c>
      <c r="I13" s="15" t="s">
        <v>155</v>
      </c>
    </row>
    <row r="14" spans="1:9" x14ac:dyDescent="0.35">
      <c r="A14" s="15"/>
      <c r="B14" s="15"/>
      <c r="C14" s="15" t="s">
        <v>164</v>
      </c>
      <c r="D14" s="15">
        <v>80</v>
      </c>
      <c r="E14" s="15">
        <v>60</v>
      </c>
      <c r="F14" s="15">
        <v>135</v>
      </c>
      <c r="G14" s="15">
        <v>5</v>
      </c>
      <c r="H14" s="34" t="s">
        <v>165</v>
      </c>
      <c r="I14" s="15" t="s">
        <v>166</v>
      </c>
    </row>
    <row r="15" spans="1:9" x14ac:dyDescent="0.35">
      <c r="A15" s="15"/>
      <c r="B15" s="15"/>
      <c r="C15" s="15" t="s">
        <v>167</v>
      </c>
      <c r="D15" s="15">
        <v>5</v>
      </c>
      <c r="E15" s="15">
        <v>50</v>
      </c>
      <c r="F15" s="15">
        <v>178</v>
      </c>
      <c r="G15" s="35">
        <v>-123</v>
      </c>
      <c r="H15" s="36" t="s">
        <v>168</v>
      </c>
      <c r="I15" s="15" t="s">
        <v>169</v>
      </c>
    </row>
    <row r="16" spans="1:9" x14ac:dyDescent="0.35">
      <c r="A16" s="15"/>
      <c r="B16" s="15"/>
      <c r="C16" s="15" t="s">
        <v>170</v>
      </c>
      <c r="D16" s="15">
        <v>0</v>
      </c>
      <c r="E16" s="15">
        <v>90</v>
      </c>
      <c r="F16" s="15">
        <v>109</v>
      </c>
      <c r="G16" s="35">
        <v>-19</v>
      </c>
      <c r="H16" s="36" t="s">
        <v>168</v>
      </c>
      <c r="I16" s="15" t="s">
        <v>169</v>
      </c>
    </row>
    <row r="17" spans="1:9" x14ac:dyDescent="0.35">
      <c r="A17" s="15"/>
      <c r="B17" s="15"/>
      <c r="C17" s="15" t="s">
        <v>171</v>
      </c>
      <c r="D17" s="15">
        <v>0</v>
      </c>
      <c r="E17" s="15">
        <v>120</v>
      </c>
      <c r="F17" s="15">
        <v>149</v>
      </c>
      <c r="G17" s="35">
        <v>-29</v>
      </c>
      <c r="H17" s="36" t="s">
        <v>168</v>
      </c>
      <c r="I17" s="15" t="s">
        <v>169</v>
      </c>
    </row>
    <row r="18" spans="1:9" x14ac:dyDescent="0.35">
      <c r="A18" s="15"/>
      <c r="B18" s="15"/>
      <c r="C18" s="15" t="s">
        <v>172</v>
      </c>
      <c r="D18" s="15">
        <v>0</v>
      </c>
      <c r="E18" s="15">
        <v>160</v>
      </c>
      <c r="F18" s="15">
        <v>160</v>
      </c>
      <c r="G18" s="15">
        <v>0</v>
      </c>
      <c r="H18" s="37" t="s">
        <v>173</v>
      </c>
      <c r="I18" s="15" t="s">
        <v>174</v>
      </c>
    </row>
    <row r="19" spans="1:9" x14ac:dyDescent="0.35">
      <c r="A19" s="15"/>
      <c r="B19" s="15"/>
      <c r="C19" s="15" t="s">
        <v>175</v>
      </c>
      <c r="D19" s="15">
        <v>0</v>
      </c>
      <c r="E19" s="15">
        <v>145</v>
      </c>
      <c r="F19" s="15">
        <v>144</v>
      </c>
      <c r="G19" s="15">
        <v>1</v>
      </c>
      <c r="H19" s="34" t="s">
        <v>165</v>
      </c>
      <c r="I19" s="15" t="s">
        <v>166</v>
      </c>
    </row>
    <row r="20" spans="1:9" x14ac:dyDescent="0.35">
      <c r="A20" s="15"/>
      <c r="B20" s="15"/>
      <c r="C20" s="15" t="s">
        <v>176</v>
      </c>
      <c r="D20" s="15">
        <v>1</v>
      </c>
      <c r="E20" s="15">
        <v>238</v>
      </c>
      <c r="F20" s="15">
        <v>164</v>
      </c>
      <c r="G20" s="15">
        <v>75</v>
      </c>
      <c r="H20" s="34" t="s">
        <v>165</v>
      </c>
      <c r="I20" s="15" t="s">
        <v>166</v>
      </c>
    </row>
    <row r="21" spans="1:9" x14ac:dyDescent="0.35">
      <c r="A21" s="15"/>
      <c r="B21" s="15"/>
      <c r="C21" s="15" t="s">
        <v>177</v>
      </c>
      <c r="D21" s="15">
        <v>75</v>
      </c>
      <c r="E21" s="15">
        <v>198</v>
      </c>
      <c r="F21" s="15">
        <v>124</v>
      </c>
      <c r="G21" s="15">
        <v>149</v>
      </c>
      <c r="H21" s="33" t="s">
        <v>154</v>
      </c>
      <c r="I21" s="15" t="s">
        <v>155</v>
      </c>
    </row>
    <row r="22" spans="1:9" x14ac:dyDescent="0.35">
      <c r="A22" s="15"/>
      <c r="B22" s="15"/>
      <c r="C22" s="15" t="s">
        <v>178</v>
      </c>
      <c r="D22" s="15">
        <v>149</v>
      </c>
      <c r="E22" s="15">
        <v>140</v>
      </c>
      <c r="F22" s="15">
        <v>103</v>
      </c>
      <c r="G22" s="15">
        <v>186</v>
      </c>
      <c r="H22" s="33" t="s">
        <v>154</v>
      </c>
      <c r="I22" s="15" t="s">
        <v>155</v>
      </c>
    </row>
    <row r="23" spans="1:9" x14ac:dyDescent="0.35">
      <c r="A23" s="15"/>
      <c r="B23" s="15"/>
      <c r="C23" s="15" t="s">
        <v>179</v>
      </c>
      <c r="D23" s="15">
        <v>186</v>
      </c>
      <c r="E23" s="15">
        <v>143</v>
      </c>
      <c r="F23" s="15">
        <v>108</v>
      </c>
      <c r="G23" s="15">
        <v>221</v>
      </c>
      <c r="H23" s="33" t="s">
        <v>154</v>
      </c>
      <c r="I23" s="15" t="s">
        <v>155</v>
      </c>
    </row>
    <row r="24" spans="1:9" x14ac:dyDescent="0.35">
      <c r="A24" s="15"/>
      <c r="B24" s="15"/>
      <c r="C24" s="15" t="s">
        <v>180</v>
      </c>
      <c r="D24" s="15">
        <v>221</v>
      </c>
      <c r="E24" s="15">
        <v>127</v>
      </c>
      <c r="F24" s="15">
        <v>113</v>
      </c>
      <c r="G24" s="15">
        <v>235</v>
      </c>
      <c r="H24" s="33" t="s">
        <v>154</v>
      </c>
      <c r="I24" s="15" t="s">
        <v>155</v>
      </c>
    </row>
    <row r="25" spans="1:9" x14ac:dyDescent="0.35">
      <c r="A25" s="15"/>
      <c r="B25" s="15"/>
      <c r="C25" s="15" t="s">
        <v>181</v>
      </c>
      <c r="D25" s="15">
        <v>235</v>
      </c>
      <c r="E25" s="15">
        <v>135</v>
      </c>
      <c r="F25" s="15">
        <v>135</v>
      </c>
      <c r="G25" s="15">
        <v>235</v>
      </c>
      <c r="H25" s="33" t="s">
        <v>154</v>
      </c>
      <c r="I25" s="15" t="s">
        <v>155</v>
      </c>
    </row>
    <row r="26" spans="1:9" x14ac:dyDescent="0.35">
      <c r="A26" s="15"/>
      <c r="B26" s="15"/>
      <c r="C26" s="15" t="s">
        <v>182</v>
      </c>
      <c r="D26" s="15">
        <v>235</v>
      </c>
      <c r="E26" s="15">
        <v>134</v>
      </c>
      <c r="F26" s="15">
        <v>140</v>
      </c>
      <c r="G26" s="15">
        <v>229</v>
      </c>
      <c r="H26" s="33" t="s">
        <v>154</v>
      </c>
      <c r="I26" s="15" t="s">
        <v>155</v>
      </c>
    </row>
    <row r="27" spans="1:9" x14ac:dyDescent="0.35">
      <c r="A27" s="15"/>
      <c r="B27" s="15"/>
      <c r="C27" s="15" t="s">
        <v>183</v>
      </c>
      <c r="D27" s="15">
        <v>229</v>
      </c>
      <c r="E27" s="15">
        <v>225</v>
      </c>
      <c r="F27" s="15">
        <v>203</v>
      </c>
      <c r="G27" s="15">
        <v>251</v>
      </c>
      <c r="H27" s="33" t="s">
        <v>154</v>
      </c>
      <c r="I27" s="15" t="s">
        <v>155</v>
      </c>
    </row>
    <row r="29" spans="1:9" x14ac:dyDescent="0.35">
      <c r="A29" s="15" t="s">
        <v>184</v>
      </c>
      <c r="B29" s="15" t="s">
        <v>185</v>
      </c>
      <c r="C29" s="15" t="s">
        <v>150</v>
      </c>
      <c r="D29" s="15">
        <v>232</v>
      </c>
      <c r="E29" s="15">
        <v>76</v>
      </c>
      <c r="F29" s="15">
        <v>94</v>
      </c>
      <c r="G29" s="15">
        <v>214</v>
      </c>
      <c r="H29" s="32" t="s">
        <v>151</v>
      </c>
      <c r="I29" s="15" t="s">
        <v>152</v>
      </c>
    </row>
    <row r="30" spans="1:9" x14ac:dyDescent="0.35">
      <c r="A30" s="15"/>
      <c r="B30" s="15"/>
      <c r="C30" s="15" t="s">
        <v>153</v>
      </c>
      <c r="D30" s="15">
        <v>214</v>
      </c>
      <c r="E30" s="15">
        <v>93</v>
      </c>
      <c r="F30" s="15">
        <v>108</v>
      </c>
      <c r="G30" s="15">
        <v>199</v>
      </c>
      <c r="H30" s="33" t="s">
        <v>154</v>
      </c>
      <c r="I30" s="15" t="s">
        <v>155</v>
      </c>
    </row>
    <row r="31" spans="1:9" x14ac:dyDescent="0.35">
      <c r="A31" s="15"/>
      <c r="B31" s="15"/>
      <c r="C31" s="15" t="s">
        <v>156</v>
      </c>
      <c r="D31" s="15">
        <v>199</v>
      </c>
      <c r="E31" s="15">
        <v>98</v>
      </c>
      <c r="F31" s="15">
        <v>119</v>
      </c>
      <c r="G31" s="15">
        <v>178</v>
      </c>
      <c r="H31" s="33" t="s">
        <v>154</v>
      </c>
      <c r="I31" s="15" t="s">
        <v>155</v>
      </c>
    </row>
    <row r="32" spans="1:9" x14ac:dyDescent="0.35">
      <c r="A32" s="15"/>
      <c r="B32" s="15"/>
      <c r="C32" s="15" t="s">
        <v>157</v>
      </c>
      <c r="D32" s="15">
        <v>178</v>
      </c>
      <c r="E32" s="15">
        <v>106</v>
      </c>
      <c r="F32" s="15">
        <v>119</v>
      </c>
      <c r="G32" s="15">
        <v>165</v>
      </c>
      <c r="H32" s="33" t="s">
        <v>154</v>
      </c>
      <c r="I32" s="15" t="s">
        <v>155</v>
      </c>
    </row>
    <row r="33" spans="1:9" x14ac:dyDescent="0.35">
      <c r="A33" s="15"/>
      <c r="B33" s="15"/>
      <c r="C33" s="15" t="s">
        <v>158</v>
      </c>
      <c r="D33" s="15">
        <v>165</v>
      </c>
      <c r="E33" s="15">
        <v>103</v>
      </c>
      <c r="F33" s="15">
        <v>121</v>
      </c>
      <c r="G33" s="15">
        <v>147</v>
      </c>
      <c r="H33" s="33" t="s">
        <v>154</v>
      </c>
      <c r="I33" s="15" t="s">
        <v>155</v>
      </c>
    </row>
    <row r="34" spans="1:9" x14ac:dyDescent="0.35">
      <c r="A34" s="15"/>
      <c r="B34" s="15"/>
      <c r="C34" s="15" t="s">
        <v>159</v>
      </c>
      <c r="D34" s="15">
        <v>147</v>
      </c>
      <c r="E34" s="15">
        <v>83</v>
      </c>
      <c r="F34" s="15">
        <v>98</v>
      </c>
      <c r="G34" s="15">
        <v>132</v>
      </c>
      <c r="H34" s="33" t="s">
        <v>154</v>
      </c>
      <c r="I34" s="15" t="s">
        <v>155</v>
      </c>
    </row>
    <row r="35" spans="1:9" x14ac:dyDescent="0.35">
      <c r="A35" s="15"/>
      <c r="B35" s="15"/>
      <c r="C35" s="15" t="s">
        <v>160</v>
      </c>
      <c r="D35" s="15">
        <v>132</v>
      </c>
      <c r="E35" s="15">
        <v>70</v>
      </c>
      <c r="F35" s="15">
        <v>92</v>
      </c>
      <c r="G35" s="15">
        <v>110</v>
      </c>
      <c r="H35" s="33" t="s">
        <v>154</v>
      </c>
      <c r="I35" s="15" t="s">
        <v>155</v>
      </c>
    </row>
    <row r="36" spans="1:9" x14ac:dyDescent="0.35">
      <c r="A36" s="15"/>
      <c r="B36" s="15"/>
      <c r="C36" s="15" t="s">
        <v>161</v>
      </c>
      <c r="D36" s="15">
        <v>110</v>
      </c>
      <c r="E36" s="15">
        <v>79</v>
      </c>
      <c r="F36" s="15">
        <v>98</v>
      </c>
      <c r="G36" s="15">
        <v>91</v>
      </c>
      <c r="H36" s="33" t="s">
        <v>154</v>
      </c>
      <c r="I36" s="15" t="s">
        <v>155</v>
      </c>
    </row>
    <row r="37" spans="1:9" x14ac:dyDescent="0.35">
      <c r="A37" s="15"/>
      <c r="B37" s="15"/>
      <c r="C37" s="15" t="s">
        <v>162</v>
      </c>
      <c r="D37" s="15">
        <v>91</v>
      </c>
      <c r="E37" s="15">
        <v>84</v>
      </c>
      <c r="F37" s="15">
        <v>96</v>
      </c>
      <c r="G37" s="15">
        <v>79</v>
      </c>
      <c r="H37" s="33" t="s">
        <v>154</v>
      </c>
      <c r="I37" s="15" t="s">
        <v>155</v>
      </c>
    </row>
    <row r="38" spans="1:9" x14ac:dyDescent="0.35">
      <c r="A38" s="15"/>
      <c r="B38" s="15"/>
      <c r="C38" s="15" t="s">
        <v>163</v>
      </c>
      <c r="D38" s="15">
        <v>79</v>
      </c>
      <c r="E38" s="15">
        <v>84</v>
      </c>
      <c r="F38" s="15">
        <v>103</v>
      </c>
      <c r="G38" s="15">
        <v>60</v>
      </c>
      <c r="H38" s="33" t="s">
        <v>154</v>
      </c>
      <c r="I38" s="15" t="s">
        <v>155</v>
      </c>
    </row>
    <row r="39" spans="1:9" x14ac:dyDescent="0.35">
      <c r="A39" s="15"/>
      <c r="B39" s="15"/>
      <c r="C39" s="15" t="s">
        <v>164</v>
      </c>
      <c r="D39" s="15">
        <v>60</v>
      </c>
      <c r="E39" s="15">
        <v>40</v>
      </c>
      <c r="F39" s="15">
        <v>75</v>
      </c>
      <c r="G39" s="15">
        <v>25</v>
      </c>
      <c r="H39" s="34" t="s">
        <v>165</v>
      </c>
      <c r="I39" s="15" t="s">
        <v>166</v>
      </c>
    </row>
    <row r="40" spans="1:9" x14ac:dyDescent="0.35">
      <c r="A40" s="15"/>
      <c r="B40" s="15"/>
      <c r="C40" s="15" t="s">
        <v>167</v>
      </c>
      <c r="D40" s="15">
        <v>25</v>
      </c>
      <c r="E40" s="15">
        <v>30</v>
      </c>
      <c r="F40" s="15">
        <v>155</v>
      </c>
      <c r="G40" s="35">
        <v>-100</v>
      </c>
      <c r="H40" s="36" t="s">
        <v>168</v>
      </c>
      <c r="I40" s="15" t="s">
        <v>169</v>
      </c>
    </row>
    <row r="41" spans="1:9" x14ac:dyDescent="0.35">
      <c r="A41" s="15"/>
      <c r="B41" s="15"/>
      <c r="C41" s="15" t="s">
        <v>170</v>
      </c>
      <c r="D41" s="15">
        <v>0</v>
      </c>
      <c r="E41" s="15">
        <v>80</v>
      </c>
      <c r="F41" s="15">
        <v>99</v>
      </c>
      <c r="G41" s="35">
        <v>-19</v>
      </c>
      <c r="H41" s="36" t="s">
        <v>168</v>
      </c>
      <c r="I41" s="15" t="s">
        <v>169</v>
      </c>
    </row>
    <row r="42" spans="1:9" x14ac:dyDescent="0.35">
      <c r="A42" s="15"/>
      <c r="B42" s="15"/>
      <c r="C42" s="15" t="s">
        <v>171</v>
      </c>
      <c r="D42" s="15">
        <v>0</v>
      </c>
      <c r="E42" s="15">
        <v>110</v>
      </c>
      <c r="F42" s="15">
        <v>130</v>
      </c>
      <c r="G42" s="35">
        <v>-20</v>
      </c>
      <c r="H42" s="36" t="s">
        <v>168</v>
      </c>
      <c r="I42" s="15" t="s">
        <v>169</v>
      </c>
    </row>
    <row r="43" spans="1:9" x14ac:dyDescent="0.35">
      <c r="A43" s="15"/>
      <c r="B43" s="15"/>
      <c r="C43" s="15" t="s">
        <v>172</v>
      </c>
      <c r="D43" s="15">
        <v>0</v>
      </c>
      <c r="E43" s="15">
        <v>135</v>
      </c>
      <c r="F43" s="15">
        <v>135</v>
      </c>
      <c r="G43" s="15">
        <v>0</v>
      </c>
      <c r="H43" s="37" t="s">
        <v>173</v>
      </c>
      <c r="I43" s="15" t="s">
        <v>174</v>
      </c>
    </row>
    <row r="44" spans="1:9" x14ac:dyDescent="0.35">
      <c r="A44" s="15"/>
      <c r="B44" s="15"/>
      <c r="C44" s="15" t="s">
        <v>175</v>
      </c>
      <c r="D44" s="15">
        <v>0</v>
      </c>
      <c r="E44" s="15">
        <v>130</v>
      </c>
      <c r="F44" s="15">
        <v>125</v>
      </c>
      <c r="G44" s="15">
        <v>5</v>
      </c>
      <c r="H44" s="34" t="s">
        <v>165</v>
      </c>
      <c r="I44" s="15" t="s">
        <v>166</v>
      </c>
    </row>
    <row r="45" spans="1:9" x14ac:dyDescent="0.35">
      <c r="A45" s="15"/>
      <c r="B45" s="15"/>
      <c r="C45" s="15" t="s">
        <v>176</v>
      </c>
      <c r="D45" s="15">
        <v>5</v>
      </c>
      <c r="E45" s="15">
        <v>216</v>
      </c>
      <c r="F45" s="15">
        <v>118</v>
      </c>
      <c r="G45" s="15">
        <v>103</v>
      </c>
      <c r="H45" s="33" t="s">
        <v>154</v>
      </c>
      <c r="I45" s="15" t="s">
        <v>155</v>
      </c>
    </row>
    <row r="46" spans="1:9" x14ac:dyDescent="0.35">
      <c r="A46" s="15"/>
      <c r="B46" s="15"/>
      <c r="C46" s="15" t="s">
        <v>177</v>
      </c>
      <c r="D46" s="15">
        <v>103</v>
      </c>
      <c r="E46" s="15">
        <v>151</v>
      </c>
      <c r="F46" s="15">
        <v>101</v>
      </c>
      <c r="G46" s="15">
        <v>153</v>
      </c>
      <c r="H46" s="33" t="s">
        <v>154</v>
      </c>
      <c r="I46" s="15" t="s">
        <v>155</v>
      </c>
    </row>
    <row r="47" spans="1:9" x14ac:dyDescent="0.35">
      <c r="A47" s="15"/>
      <c r="B47" s="15"/>
      <c r="C47" s="15" t="s">
        <v>178</v>
      </c>
      <c r="D47" s="15">
        <v>153</v>
      </c>
      <c r="E47" s="15">
        <v>110</v>
      </c>
      <c r="F47" s="15">
        <v>94</v>
      </c>
      <c r="G47" s="15">
        <v>169</v>
      </c>
      <c r="H47" s="33" t="s">
        <v>154</v>
      </c>
      <c r="I47" s="15" t="s">
        <v>155</v>
      </c>
    </row>
    <row r="48" spans="1:9" x14ac:dyDescent="0.35">
      <c r="A48" s="15"/>
      <c r="B48" s="15"/>
      <c r="C48" s="15" t="s">
        <v>179</v>
      </c>
      <c r="D48" s="15">
        <v>169</v>
      </c>
      <c r="E48" s="15">
        <v>110</v>
      </c>
      <c r="F48" s="15">
        <v>94</v>
      </c>
      <c r="G48" s="15">
        <v>185</v>
      </c>
      <c r="H48" s="33" t="s">
        <v>154</v>
      </c>
      <c r="I48" s="15" t="s">
        <v>155</v>
      </c>
    </row>
    <row r="49" spans="1:9" x14ac:dyDescent="0.35">
      <c r="A49" s="15"/>
      <c r="B49" s="15"/>
      <c r="C49" s="15" t="s">
        <v>180</v>
      </c>
      <c r="D49" s="15">
        <v>185</v>
      </c>
      <c r="E49" s="15">
        <v>105</v>
      </c>
      <c r="F49" s="15">
        <v>98</v>
      </c>
      <c r="G49" s="15">
        <v>192</v>
      </c>
      <c r="H49" s="33" t="s">
        <v>154</v>
      </c>
      <c r="I49" s="15" t="s">
        <v>155</v>
      </c>
    </row>
    <row r="50" spans="1:9" x14ac:dyDescent="0.35">
      <c r="A50" s="15"/>
      <c r="B50" s="15"/>
      <c r="C50" s="15" t="s">
        <v>181</v>
      </c>
      <c r="D50" s="15">
        <v>192</v>
      </c>
      <c r="E50" s="15">
        <v>131</v>
      </c>
      <c r="F50" s="15">
        <v>114</v>
      </c>
      <c r="G50" s="15">
        <v>209</v>
      </c>
      <c r="H50" s="33" t="s">
        <v>154</v>
      </c>
      <c r="I50" s="15" t="s">
        <v>155</v>
      </c>
    </row>
    <row r="51" spans="1:9" x14ac:dyDescent="0.35">
      <c r="A51" s="15"/>
      <c r="B51" s="15"/>
      <c r="C51" s="15" t="s">
        <v>182</v>
      </c>
      <c r="D51" s="15">
        <v>209</v>
      </c>
      <c r="E51" s="15">
        <v>120</v>
      </c>
      <c r="F51" s="15">
        <v>114</v>
      </c>
      <c r="G51" s="15">
        <v>215</v>
      </c>
      <c r="H51" s="33" t="s">
        <v>154</v>
      </c>
      <c r="I51" s="15" t="s">
        <v>155</v>
      </c>
    </row>
    <row r="52" spans="1:9" x14ac:dyDescent="0.35">
      <c r="A52" s="15"/>
      <c r="B52" s="15"/>
      <c r="C52" s="15" t="s">
        <v>183</v>
      </c>
      <c r="D52" s="15">
        <v>215</v>
      </c>
      <c r="E52" s="15">
        <v>196</v>
      </c>
      <c r="F52" s="15">
        <v>166</v>
      </c>
      <c r="G52" s="15">
        <v>245</v>
      </c>
      <c r="H52" s="33" t="s">
        <v>154</v>
      </c>
      <c r="I52" s="15" t="s">
        <v>155</v>
      </c>
    </row>
    <row r="54" spans="1:9" x14ac:dyDescent="0.35">
      <c r="A54" s="15" t="s">
        <v>186</v>
      </c>
      <c r="B54" s="15" t="s">
        <v>187</v>
      </c>
      <c r="C54" s="15" t="s">
        <v>150</v>
      </c>
      <c r="D54" s="15">
        <v>63</v>
      </c>
      <c r="E54" s="15">
        <v>16</v>
      </c>
      <c r="F54" s="15">
        <v>18</v>
      </c>
      <c r="G54" s="15">
        <v>61</v>
      </c>
      <c r="H54" s="38" t="s">
        <v>188</v>
      </c>
      <c r="I54" s="15" t="s">
        <v>189</v>
      </c>
    </row>
    <row r="55" spans="1:9" x14ac:dyDescent="0.35">
      <c r="A55" s="15"/>
      <c r="B55" s="15"/>
      <c r="C55" s="15" t="s">
        <v>153</v>
      </c>
      <c r="D55" s="15">
        <v>61</v>
      </c>
      <c r="E55" s="15">
        <v>17</v>
      </c>
      <c r="F55" s="15">
        <v>22</v>
      </c>
      <c r="G55" s="15">
        <v>56</v>
      </c>
      <c r="H55" s="32" t="s">
        <v>151</v>
      </c>
      <c r="I55" s="15" t="s">
        <v>152</v>
      </c>
    </row>
    <row r="56" spans="1:9" x14ac:dyDescent="0.35">
      <c r="A56" s="15"/>
      <c r="B56" s="15"/>
      <c r="C56" s="15" t="s">
        <v>156</v>
      </c>
      <c r="D56" s="15">
        <v>56</v>
      </c>
      <c r="E56" s="15">
        <v>19</v>
      </c>
      <c r="F56" s="15">
        <v>22</v>
      </c>
      <c r="G56" s="15">
        <v>53</v>
      </c>
      <c r="H56" s="32" t="s">
        <v>151</v>
      </c>
      <c r="I56" s="15" t="s">
        <v>152</v>
      </c>
    </row>
    <row r="57" spans="1:9" x14ac:dyDescent="0.35">
      <c r="A57" s="15"/>
      <c r="B57" s="15"/>
      <c r="C57" s="15" t="s">
        <v>157</v>
      </c>
      <c r="D57" s="15">
        <v>53</v>
      </c>
      <c r="E57" s="15">
        <v>17</v>
      </c>
      <c r="F57" s="15">
        <v>20</v>
      </c>
      <c r="G57" s="15">
        <v>50</v>
      </c>
      <c r="H57" s="32" t="s">
        <v>151</v>
      </c>
      <c r="I57" s="15" t="s">
        <v>152</v>
      </c>
    </row>
    <row r="58" spans="1:9" x14ac:dyDescent="0.35">
      <c r="A58" s="15"/>
      <c r="B58" s="15"/>
      <c r="C58" s="15" t="s">
        <v>158</v>
      </c>
      <c r="D58" s="15">
        <v>50</v>
      </c>
      <c r="E58" s="15">
        <v>18</v>
      </c>
      <c r="F58" s="15">
        <v>23</v>
      </c>
      <c r="G58" s="15">
        <v>45</v>
      </c>
      <c r="H58" s="33" t="s">
        <v>154</v>
      </c>
      <c r="I58" s="15" t="s">
        <v>155</v>
      </c>
    </row>
    <row r="59" spans="1:9" x14ac:dyDescent="0.35">
      <c r="A59" s="15"/>
      <c r="B59" s="15"/>
      <c r="C59" s="15" t="s">
        <v>159</v>
      </c>
      <c r="D59" s="15">
        <v>45</v>
      </c>
      <c r="E59" s="15">
        <v>15</v>
      </c>
      <c r="F59" s="15">
        <v>17</v>
      </c>
      <c r="G59" s="15">
        <v>43</v>
      </c>
      <c r="H59" s="32" t="s">
        <v>151</v>
      </c>
      <c r="I59" s="15" t="s">
        <v>152</v>
      </c>
    </row>
    <row r="60" spans="1:9" x14ac:dyDescent="0.35">
      <c r="A60" s="15"/>
      <c r="B60" s="15"/>
      <c r="C60" s="15" t="s">
        <v>160</v>
      </c>
      <c r="D60" s="15">
        <v>43</v>
      </c>
      <c r="E60" s="15">
        <v>13</v>
      </c>
      <c r="F60" s="15">
        <v>16</v>
      </c>
      <c r="G60" s="15">
        <v>40</v>
      </c>
      <c r="H60" s="32" t="s">
        <v>151</v>
      </c>
      <c r="I60" s="15" t="s">
        <v>152</v>
      </c>
    </row>
    <row r="61" spans="1:9" x14ac:dyDescent="0.35">
      <c r="A61" s="15"/>
      <c r="B61" s="15"/>
      <c r="C61" s="15" t="s">
        <v>161</v>
      </c>
      <c r="D61" s="15">
        <v>40</v>
      </c>
      <c r="E61" s="15">
        <v>15</v>
      </c>
      <c r="F61" s="15">
        <v>17</v>
      </c>
      <c r="G61" s="15">
        <v>38</v>
      </c>
      <c r="H61" s="32" t="s">
        <v>151</v>
      </c>
      <c r="I61" s="15" t="s">
        <v>152</v>
      </c>
    </row>
    <row r="62" spans="1:9" x14ac:dyDescent="0.35">
      <c r="A62" s="15"/>
      <c r="B62" s="15"/>
      <c r="C62" s="15" t="s">
        <v>162</v>
      </c>
      <c r="D62" s="15">
        <v>38</v>
      </c>
      <c r="E62" s="15">
        <v>12</v>
      </c>
      <c r="F62" s="15">
        <v>17</v>
      </c>
      <c r="G62" s="15">
        <v>33</v>
      </c>
      <c r="H62" s="33" t="s">
        <v>154</v>
      </c>
      <c r="I62" s="15" t="s">
        <v>155</v>
      </c>
    </row>
    <row r="63" spans="1:9" x14ac:dyDescent="0.35">
      <c r="A63" s="15"/>
      <c r="B63" s="15"/>
      <c r="C63" s="15" t="s">
        <v>163</v>
      </c>
      <c r="D63" s="15">
        <v>33</v>
      </c>
      <c r="E63" s="15">
        <v>19</v>
      </c>
      <c r="F63" s="15">
        <v>21</v>
      </c>
      <c r="G63" s="15">
        <v>31</v>
      </c>
      <c r="H63" s="33" t="s">
        <v>154</v>
      </c>
      <c r="I63" s="15" t="s">
        <v>155</v>
      </c>
    </row>
    <row r="64" spans="1:9" x14ac:dyDescent="0.35">
      <c r="A64" s="15"/>
      <c r="B64" s="15"/>
      <c r="C64" s="15" t="s">
        <v>164</v>
      </c>
      <c r="D64" s="15">
        <v>30</v>
      </c>
      <c r="E64" s="15">
        <v>80</v>
      </c>
      <c r="F64" s="15">
        <v>22</v>
      </c>
      <c r="G64" s="15">
        <v>88</v>
      </c>
      <c r="H64" s="38" t="s">
        <v>188</v>
      </c>
      <c r="I64" s="15" t="s">
        <v>189</v>
      </c>
    </row>
    <row r="65" spans="1:9" x14ac:dyDescent="0.35">
      <c r="A65" s="15"/>
      <c r="B65" s="15"/>
      <c r="C65" s="15" t="s">
        <v>167</v>
      </c>
      <c r="D65" s="15">
        <v>88</v>
      </c>
      <c r="E65" s="15">
        <v>60</v>
      </c>
      <c r="F65" s="15">
        <v>30</v>
      </c>
      <c r="G65" s="15">
        <v>118</v>
      </c>
      <c r="H65" s="38" t="s">
        <v>188</v>
      </c>
      <c r="I65" s="15" t="s">
        <v>189</v>
      </c>
    </row>
    <row r="66" spans="1:9" x14ac:dyDescent="0.35">
      <c r="A66" s="15"/>
      <c r="B66" s="15"/>
      <c r="C66" s="15" t="s">
        <v>170</v>
      </c>
      <c r="D66" s="15">
        <v>118</v>
      </c>
      <c r="E66" s="15">
        <v>20</v>
      </c>
      <c r="F66" s="15">
        <v>17</v>
      </c>
      <c r="G66" s="15">
        <v>121</v>
      </c>
      <c r="H66" s="38" t="s">
        <v>188</v>
      </c>
      <c r="I66" s="15" t="s">
        <v>189</v>
      </c>
    </row>
    <row r="67" spans="1:9" x14ac:dyDescent="0.35">
      <c r="A67" s="15"/>
      <c r="B67" s="15"/>
      <c r="C67" s="15" t="s">
        <v>171</v>
      </c>
      <c r="D67" s="15">
        <v>121</v>
      </c>
      <c r="E67" s="15">
        <v>10</v>
      </c>
      <c r="F67" s="15">
        <v>22</v>
      </c>
      <c r="G67" s="15">
        <v>109</v>
      </c>
      <c r="H67" s="38" t="s">
        <v>188</v>
      </c>
      <c r="I67" s="15" t="s">
        <v>189</v>
      </c>
    </row>
    <row r="68" spans="1:9" x14ac:dyDescent="0.35">
      <c r="A68" s="15"/>
      <c r="B68" s="15"/>
      <c r="C68" s="15" t="s">
        <v>172</v>
      </c>
      <c r="D68" s="15">
        <v>109</v>
      </c>
      <c r="E68" s="15">
        <v>10</v>
      </c>
      <c r="F68" s="15">
        <v>24</v>
      </c>
      <c r="G68" s="15">
        <v>95</v>
      </c>
      <c r="H68" s="38" t="s">
        <v>188</v>
      </c>
      <c r="I68" s="15" t="s">
        <v>189</v>
      </c>
    </row>
    <row r="69" spans="1:9" x14ac:dyDescent="0.35">
      <c r="A69" s="15"/>
      <c r="B69" s="15"/>
      <c r="C69" s="15" t="s">
        <v>175</v>
      </c>
      <c r="D69" s="15">
        <v>95</v>
      </c>
      <c r="E69" s="15">
        <v>10</v>
      </c>
      <c r="F69" s="15">
        <v>22</v>
      </c>
      <c r="G69" s="15">
        <v>83</v>
      </c>
      <c r="H69" s="38" t="s">
        <v>188</v>
      </c>
      <c r="I69" s="15" t="s">
        <v>189</v>
      </c>
    </row>
    <row r="70" spans="1:9" x14ac:dyDescent="0.35">
      <c r="A70" s="15"/>
      <c r="B70" s="15"/>
      <c r="C70" s="15" t="s">
        <v>176</v>
      </c>
      <c r="D70" s="15">
        <v>83</v>
      </c>
      <c r="E70" s="15">
        <v>35</v>
      </c>
      <c r="F70" s="15">
        <v>25</v>
      </c>
      <c r="G70" s="15">
        <v>93</v>
      </c>
      <c r="H70" s="38" t="s">
        <v>188</v>
      </c>
      <c r="I70" s="15" t="s">
        <v>189</v>
      </c>
    </row>
    <row r="71" spans="1:9" x14ac:dyDescent="0.35">
      <c r="A71" s="15"/>
      <c r="B71" s="15"/>
      <c r="C71" s="15" t="s">
        <v>177</v>
      </c>
      <c r="D71" s="15">
        <v>93</v>
      </c>
      <c r="E71" s="15">
        <v>24</v>
      </c>
      <c r="F71" s="15">
        <v>18</v>
      </c>
      <c r="G71" s="15">
        <v>99</v>
      </c>
      <c r="H71" s="38" t="s">
        <v>188</v>
      </c>
      <c r="I71" s="15" t="s">
        <v>189</v>
      </c>
    </row>
    <row r="72" spans="1:9" x14ac:dyDescent="0.35">
      <c r="A72" s="15"/>
      <c r="B72" s="15"/>
      <c r="C72" s="15" t="s">
        <v>178</v>
      </c>
      <c r="D72" s="15">
        <v>99</v>
      </c>
      <c r="E72" s="15">
        <v>25</v>
      </c>
      <c r="F72" s="15">
        <v>17</v>
      </c>
      <c r="G72" s="15">
        <v>107</v>
      </c>
      <c r="H72" s="38" t="s">
        <v>188</v>
      </c>
      <c r="I72" s="15" t="s">
        <v>189</v>
      </c>
    </row>
    <row r="73" spans="1:9" x14ac:dyDescent="0.35">
      <c r="A73" s="15"/>
      <c r="B73" s="15"/>
      <c r="C73" s="15" t="s">
        <v>179</v>
      </c>
      <c r="D73" s="15">
        <v>107</v>
      </c>
      <c r="E73" s="15">
        <v>21</v>
      </c>
      <c r="F73" s="15">
        <v>18</v>
      </c>
      <c r="G73" s="15">
        <v>110</v>
      </c>
      <c r="H73" s="38" t="s">
        <v>188</v>
      </c>
      <c r="I73" s="15" t="s">
        <v>189</v>
      </c>
    </row>
    <row r="74" spans="1:9" x14ac:dyDescent="0.35">
      <c r="A74" s="15"/>
      <c r="B74" s="15"/>
      <c r="C74" s="15" t="s">
        <v>180</v>
      </c>
      <c r="D74" s="15">
        <v>110</v>
      </c>
      <c r="E74" s="15">
        <v>23</v>
      </c>
      <c r="F74" s="15">
        <v>18</v>
      </c>
      <c r="G74" s="15">
        <v>115</v>
      </c>
      <c r="H74" s="38" t="s">
        <v>188</v>
      </c>
      <c r="I74" s="15" t="s">
        <v>189</v>
      </c>
    </row>
    <row r="75" spans="1:9" x14ac:dyDescent="0.35">
      <c r="A75" s="15"/>
      <c r="B75" s="15"/>
      <c r="C75" s="15" t="s">
        <v>181</v>
      </c>
      <c r="D75" s="15">
        <v>115</v>
      </c>
      <c r="E75" s="15">
        <v>27</v>
      </c>
      <c r="F75" s="15">
        <v>20</v>
      </c>
      <c r="G75" s="15">
        <v>122</v>
      </c>
      <c r="H75" s="38" t="s">
        <v>188</v>
      </c>
      <c r="I75" s="15" t="s">
        <v>189</v>
      </c>
    </row>
    <row r="76" spans="1:9" x14ac:dyDescent="0.35">
      <c r="A76" s="15"/>
      <c r="B76" s="15"/>
      <c r="C76" s="15" t="s">
        <v>182</v>
      </c>
      <c r="D76" s="15">
        <v>122</v>
      </c>
      <c r="E76" s="15">
        <v>27</v>
      </c>
      <c r="F76" s="15">
        <v>22</v>
      </c>
      <c r="G76" s="15">
        <v>127</v>
      </c>
      <c r="H76" s="38" t="s">
        <v>188</v>
      </c>
      <c r="I76" s="15" t="s">
        <v>189</v>
      </c>
    </row>
    <row r="77" spans="1:9" x14ac:dyDescent="0.35">
      <c r="A77" s="15"/>
      <c r="B77" s="15"/>
      <c r="C77" s="15" t="s">
        <v>183</v>
      </c>
      <c r="D77" s="15">
        <v>127</v>
      </c>
      <c r="E77" s="15">
        <v>44</v>
      </c>
      <c r="F77" s="15">
        <v>31</v>
      </c>
      <c r="G77" s="15">
        <v>140</v>
      </c>
      <c r="H77" s="38" t="s">
        <v>188</v>
      </c>
      <c r="I77" s="15" t="s">
        <v>189</v>
      </c>
    </row>
    <row r="79" spans="1:9" x14ac:dyDescent="0.35">
      <c r="A79" s="15" t="s">
        <v>190</v>
      </c>
      <c r="B79" s="15" t="s">
        <v>191</v>
      </c>
      <c r="C79" s="15" t="s">
        <v>150</v>
      </c>
      <c r="D79" s="15">
        <v>54</v>
      </c>
      <c r="E79" s="15">
        <v>12</v>
      </c>
      <c r="F79" s="15">
        <v>15</v>
      </c>
      <c r="G79" s="15">
        <v>51</v>
      </c>
      <c r="H79" s="38" t="s">
        <v>188</v>
      </c>
      <c r="I79" s="15" t="s">
        <v>189</v>
      </c>
    </row>
    <row r="80" spans="1:9" x14ac:dyDescent="0.35">
      <c r="A80" s="15"/>
      <c r="B80" s="15"/>
      <c r="C80" s="15" t="s">
        <v>153</v>
      </c>
      <c r="D80" s="15">
        <v>51</v>
      </c>
      <c r="E80" s="15">
        <v>17</v>
      </c>
      <c r="F80" s="15">
        <v>20</v>
      </c>
      <c r="G80" s="15">
        <v>48</v>
      </c>
      <c r="H80" s="32" t="s">
        <v>151</v>
      </c>
      <c r="I80" s="15" t="s">
        <v>152</v>
      </c>
    </row>
    <row r="81" spans="1:9" x14ac:dyDescent="0.35">
      <c r="A81" s="15"/>
      <c r="B81" s="15"/>
      <c r="C81" s="15" t="s">
        <v>156</v>
      </c>
      <c r="D81" s="15">
        <v>48</v>
      </c>
      <c r="E81" s="15">
        <v>17</v>
      </c>
      <c r="F81" s="15">
        <v>20</v>
      </c>
      <c r="G81" s="15">
        <v>45</v>
      </c>
      <c r="H81" s="32" t="s">
        <v>151</v>
      </c>
      <c r="I81" s="15" t="s">
        <v>152</v>
      </c>
    </row>
    <row r="82" spans="1:9" x14ac:dyDescent="0.35">
      <c r="A82" s="15"/>
      <c r="B82" s="15"/>
      <c r="C82" s="15" t="s">
        <v>157</v>
      </c>
      <c r="D82" s="15">
        <v>45</v>
      </c>
      <c r="E82" s="15">
        <v>16</v>
      </c>
      <c r="F82" s="15">
        <v>20</v>
      </c>
      <c r="G82" s="15">
        <v>41</v>
      </c>
      <c r="H82" s="33" t="s">
        <v>154</v>
      </c>
      <c r="I82" s="15" t="s">
        <v>155</v>
      </c>
    </row>
    <row r="83" spans="1:9" x14ac:dyDescent="0.35">
      <c r="A83" s="15"/>
      <c r="B83" s="15"/>
      <c r="C83" s="15" t="s">
        <v>158</v>
      </c>
      <c r="D83" s="15">
        <v>41</v>
      </c>
      <c r="E83" s="15">
        <v>21</v>
      </c>
      <c r="F83" s="15">
        <v>22</v>
      </c>
      <c r="G83" s="15">
        <v>40</v>
      </c>
      <c r="H83" s="33" t="s">
        <v>154</v>
      </c>
      <c r="I83" s="15" t="s">
        <v>155</v>
      </c>
    </row>
    <row r="84" spans="1:9" x14ac:dyDescent="0.35">
      <c r="A84" s="15"/>
      <c r="B84" s="15"/>
      <c r="C84" s="15" t="s">
        <v>159</v>
      </c>
      <c r="D84" s="15">
        <v>40</v>
      </c>
      <c r="E84" s="15">
        <v>14</v>
      </c>
      <c r="F84" s="15">
        <v>17</v>
      </c>
      <c r="G84" s="15">
        <v>37</v>
      </c>
      <c r="H84" s="32" t="s">
        <v>151</v>
      </c>
      <c r="I84" s="15" t="s">
        <v>152</v>
      </c>
    </row>
    <row r="85" spans="1:9" x14ac:dyDescent="0.35">
      <c r="A85" s="15"/>
      <c r="B85" s="15"/>
      <c r="C85" s="15" t="s">
        <v>160</v>
      </c>
      <c r="D85" s="15">
        <v>37</v>
      </c>
      <c r="E85" s="15">
        <v>12</v>
      </c>
      <c r="F85" s="15">
        <v>15</v>
      </c>
      <c r="G85" s="15">
        <v>34</v>
      </c>
      <c r="H85" s="32" t="s">
        <v>151</v>
      </c>
      <c r="I85" s="15" t="s">
        <v>152</v>
      </c>
    </row>
    <row r="86" spans="1:9" x14ac:dyDescent="0.35">
      <c r="A86" s="15"/>
      <c r="B86" s="15"/>
      <c r="C86" s="15" t="s">
        <v>161</v>
      </c>
      <c r="D86" s="15">
        <v>34</v>
      </c>
      <c r="E86" s="15">
        <v>12</v>
      </c>
      <c r="F86" s="15">
        <v>15</v>
      </c>
      <c r="G86" s="15">
        <v>31</v>
      </c>
      <c r="H86" s="33" t="s">
        <v>154</v>
      </c>
      <c r="I86" s="15" t="s">
        <v>155</v>
      </c>
    </row>
    <row r="87" spans="1:9" x14ac:dyDescent="0.35">
      <c r="A87" s="15"/>
      <c r="B87" s="15"/>
      <c r="C87" s="15" t="s">
        <v>162</v>
      </c>
      <c r="D87" s="15">
        <v>31</v>
      </c>
      <c r="E87" s="15">
        <v>11</v>
      </c>
      <c r="F87" s="15">
        <v>15</v>
      </c>
      <c r="G87" s="15">
        <v>27</v>
      </c>
      <c r="H87" s="33" t="s">
        <v>154</v>
      </c>
      <c r="I87" s="15" t="s">
        <v>155</v>
      </c>
    </row>
    <row r="88" spans="1:9" x14ac:dyDescent="0.35">
      <c r="A88" s="15"/>
      <c r="B88" s="15"/>
      <c r="C88" s="15" t="s">
        <v>163</v>
      </c>
      <c r="D88" s="15">
        <v>27</v>
      </c>
      <c r="E88" s="15">
        <v>14</v>
      </c>
      <c r="F88" s="15">
        <v>17</v>
      </c>
      <c r="G88" s="15">
        <v>24</v>
      </c>
      <c r="H88" s="33" t="s">
        <v>154</v>
      </c>
      <c r="I88" s="15" t="s">
        <v>155</v>
      </c>
    </row>
    <row r="89" spans="1:9" x14ac:dyDescent="0.35">
      <c r="A89" s="15"/>
      <c r="B89" s="15"/>
      <c r="C89" s="15" t="s">
        <v>164</v>
      </c>
      <c r="D89" s="15">
        <v>25</v>
      </c>
      <c r="E89" s="15">
        <v>70</v>
      </c>
      <c r="F89" s="15">
        <v>20</v>
      </c>
      <c r="G89" s="15">
        <v>75</v>
      </c>
      <c r="H89" s="38" t="s">
        <v>188</v>
      </c>
      <c r="I89" s="15" t="s">
        <v>189</v>
      </c>
    </row>
    <row r="90" spans="1:9" x14ac:dyDescent="0.35">
      <c r="A90" s="15"/>
      <c r="B90" s="15"/>
      <c r="C90" s="15" t="s">
        <v>167</v>
      </c>
      <c r="D90" s="15">
        <v>75</v>
      </c>
      <c r="E90" s="15">
        <v>50</v>
      </c>
      <c r="F90" s="15">
        <v>28</v>
      </c>
      <c r="G90" s="15">
        <v>97</v>
      </c>
      <c r="H90" s="38" t="s">
        <v>188</v>
      </c>
      <c r="I90" s="15" t="s">
        <v>189</v>
      </c>
    </row>
    <row r="91" spans="1:9" x14ac:dyDescent="0.35">
      <c r="A91" s="15"/>
      <c r="B91" s="15"/>
      <c r="C91" s="15" t="s">
        <v>170</v>
      </c>
      <c r="D91" s="15">
        <v>97</v>
      </c>
      <c r="E91" s="15">
        <v>15</v>
      </c>
      <c r="F91" s="15">
        <v>14</v>
      </c>
      <c r="G91" s="15">
        <v>98</v>
      </c>
      <c r="H91" s="38" t="s">
        <v>188</v>
      </c>
      <c r="I91" s="15" t="s">
        <v>189</v>
      </c>
    </row>
    <row r="92" spans="1:9" x14ac:dyDescent="0.35">
      <c r="A92" s="15"/>
      <c r="B92" s="15"/>
      <c r="C92" s="15" t="s">
        <v>171</v>
      </c>
      <c r="D92" s="15">
        <v>98</v>
      </c>
      <c r="E92" s="15">
        <v>10</v>
      </c>
      <c r="F92" s="15">
        <v>19</v>
      </c>
      <c r="G92" s="15">
        <v>89</v>
      </c>
      <c r="H92" s="38" t="s">
        <v>188</v>
      </c>
      <c r="I92" s="15" t="s">
        <v>189</v>
      </c>
    </row>
    <row r="93" spans="1:9" x14ac:dyDescent="0.35">
      <c r="A93" s="15"/>
      <c r="B93" s="15"/>
      <c r="C93" s="15" t="s">
        <v>172</v>
      </c>
      <c r="D93" s="15">
        <v>89</v>
      </c>
      <c r="E93" s="15">
        <v>10</v>
      </c>
      <c r="F93" s="15">
        <v>21</v>
      </c>
      <c r="G93" s="15">
        <v>78</v>
      </c>
      <c r="H93" s="38" t="s">
        <v>188</v>
      </c>
      <c r="I93" s="15" t="s">
        <v>189</v>
      </c>
    </row>
    <row r="94" spans="1:9" x14ac:dyDescent="0.35">
      <c r="A94" s="15"/>
      <c r="B94" s="15"/>
      <c r="C94" s="15" t="s">
        <v>175</v>
      </c>
      <c r="D94" s="15">
        <v>78</v>
      </c>
      <c r="E94" s="15">
        <v>10</v>
      </c>
      <c r="F94" s="15">
        <v>20</v>
      </c>
      <c r="G94" s="15">
        <v>68</v>
      </c>
      <c r="H94" s="38" t="s">
        <v>188</v>
      </c>
      <c r="I94" s="15" t="s">
        <v>189</v>
      </c>
    </row>
    <row r="95" spans="1:9" x14ac:dyDescent="0.35">
      <c r="A95" s="15"/>
      <c r="B95" s="15"/>
      <c r="C95" s="15" t="s">
        <v>176</v>
      </c>
      <c r="D95" s="15">
        <v>68</v>
      </c>
      <c r="E95" s="15">
        <v>24</v>
      </c>
      <c r="F95" s="15">
        <v>21</v>
      </c>
      <c r="G95" s="15">
        <v>71</v>
      </c>
      <c r="H95" s="38" t="s">
        <v>188</v>
      </c>
      <c r="I95" s="15" t="s">
        <v>189</v>
      </c>
    </row>
    <row r="96" spans="1:9" x14ac:dyDescent="0.35">
      <c r="A96" s="15"/>
      <c r="B96" s="15"/>
      <c r="C96" s="15" t="s">
        <v>177</v>
      </c>
      <c r="D96" s="15">
        <v>71</v>
      </c>
      <c r="E96" s="15">
        <v>19</v>
      </c>
      <c r="F96" s="15">
        <v>15</v>
      </c>
      <c r="G96" s="15">
        <v>75</v>
      </c>
      <c r="H96" s="38" t="s">
        <v>188</v>
      </c>
      <c r="I96" s="15" t="s">
        <v>189</v>
      </c>
    </row>
    <row r="97" spans="1:9" x14ac:dyDescent="0.35">
      <c r="A97" s="15"/>
      <c r="B97" s="15"/>
      <c r="C97" s="15" t="s">
        <v>178</v>
      </c>
      <c r="D97" s="15">
        <v>75</v>
      </c>
      <c r="E97" s="15">
        <v>19</v>
      </c>
      <c r="F97" s="15">
        <v>14</v>
      </c>
      <c r="G97" s="15">
        <v>80</v>
      </c>
      <c r="H97" s="38" t="s">
        <v>188</v>
      </c>
      <c r="I97" s="15" t="s">
        <v>189</v>
      </c>
    </row>
    <row r="98" spans="1:9" x14ac:dyDescent="0.35">
      <c r="A98" s="15"/>
      <c r="B98" s="15"/>
      <c r="C98" s="15" t="s">
        <v>179</v>
      </c>
      <c r="D98" s="15">
        <v>80</v>
      </c>
      <c r="E98" s="15">
        <v>22</v>
      </c>
      <c r="F98" s="15">
        <v>14</v>
      </c>
      <c r="G98" s="15">
        <v>88</v>
      </c>
      <c r="H98" s="38" t="s">
        <v>188</v>
      </c>
      <c r="I98" s="15" t="s">
        <v>189</v>
      </c>
    </row>
    <row r="99" spans="1:9" x14ac:dyDescent="0.35">
      <c r="A99" s="15"/>
      <c r="B99" s="15"/>
      <c r="C99" s="15" t="s">
        <v>180</v>
      </c>
      <c r="D99" s="15">
        <v>88</v>
      </c>
      <c r="E99" s="15">
        <v>19</v>
      </c>
      <c r="F99" s="15">
        <v>17</v>
      </c>
      <c r="G99" s="15">
        <v>90</v>
      </c>
      <c r="H99" s="38" t="s">
        <v>188</v>
      </c>
      <c r="I99" s="15" t="s">
        <v>189</v>
      </c>
    </row>
    <row r="100" spans="1:9" x14ac:dyDescent="0.35">
      <c r="A100" s="15"/>
      <c r="B100" s="15"/>
      <c r="C100" s="15" t="s">
        <v>181</v>
      </c>
      <c r="D100" s="15">
        <v>90</v>
      </c>
      <c r="E100" s="15">
        <v>23</v>
      </c>
      <c r="F100" s="15">
        <v>18</v>
      </c>
      <c r="G100" s="15">
        <v>95</v>
      </c>
      <c r="H100" s="38" t="s">
        <v>188</v>
      </c>
      <c r="I100" s="15" t="s">
        <v>189</v>
      </c>
    </row>
    <row r="101" spans="1:9" x14ac:dyDescent="0.35">
      <c r="A101" s="15"/>
      <c r="B101" s="15"/>
      <c r="C101" s="15" t="s">
        <v>182</v>
      </c>
      <c r="D101" s="15">
        <v>95</v>
      </c>
      <c r="E101" s="15">
        <v>22</v>
      </c>
      <c r="F101" s="15">
        <v>19</v>
      </c>
      <c r="G101" s="15">
        <v>98</v>
      </c>
      <c r="H101" s="38" t="s">
        <v>188</v>
      </c>
      <c r="I101" s="15" t="s">
        <v>189</v>
      </c>
    </row>
    <row r="102" spans="1:9" x14ac:dyDescent="0.35">
      <c r="A102" s="15"/>
      <c r="B102" s="15"/>
      <c r="C102" s="15" t="s">
        <v>183</v>
      </c>
      <c r="D102" s="15">
        <v>98</v>
      </c>
      <c r="E102" s="15">
        <v>45</v>
      </c>
      <c r="F102" s="15">
        <v>31</v>
      </c>
      <c r="G102" s="15">
        <v>112</v>
      </c>
      <c r="H102" s="38" t="s">
        <v>188</v>
      </c>
      <c r="I102" s="15" t="s">
        <v>189</v>
      </c>
    </row>
    <row r="104" spans="1:9" x14ac:dyDescent="0.35">
      <c r="A104" s="15" t="s">
        <v>192</v>
      </c>
      <c r="B104" s="15" t="s">
        <v>191</v>
      </c>
      <c r="C104" s="15" t="s">
        <v>150</v>
      </c>
      <c r="D104" s="15">
        <v>32</v>
      </c>
      <c r="E104" s="15">
        <v>6</v>
      </c>
      <c r="F104" s="15">
        <v>7</v>
      </c>
      <c r="G104" s="15">
        <v>31</v>
      </c>
      <c r="H104" s="38" t="s">
        <v>188</v>
      </c>
      <c r="I104" s="15" t="s">
        <v>189</v>
      </c>
    </row>
    <row r="105" spans="1:9" x14ac:dyDescent="0.35">
      <c r="A105" s="15"/>
      <c r="B105" s="15"/>
      <c r="C105" s="15" t="s">
        <v>153</v>
      </c>
      <c r="D105" s="15">
        <v>31</v>
      </c>
      <c r="E105" s="15">
        <v>7</v>
      </c>
      <c r="F105" s="15">
        <v>8</v>
      </c>
      <c r="G105" s="15">
        <v>30</v>
      </c>
      <c r="H105" s="38" t="s">
        <v>188</v>
      </c>
      <c r="I105" s="15" t="s">
        <v>189</v>
      </c>
    </row>
    <row r="106" spans="1:9" x14ac:dyDescent="0.35">
      <c r="A106" s="15"/>
      <c r="B106" s="15"/>
      <c r="C106" s="15" t="s">
        <v>156</v>
      </c>
      <c r="D106" s="15">
        <v>30</v>
      </c>
      <c r="E106" s="15">
        <v>7</v>
      </c>
      <c r="F106" s="15">
        <v>9</v>
      </c>
      <c r="G106" s="15">
        <v>28</v>
      </c>
      <c r="H106" s="32" t="s">
        <v>151</v>
      </c>
      <c r="I106" s="15" t="s">
        <v>152</v>
      </c>
    </row>
    <row r="107" spans="1:9" x14ac:dyDescent="0.35">
      <c r="A107" s="15"/>
      <c r="B107" s="15"/>
      <c r="C107" s="15" t="s">
        <v>157</v>
      </c>
      <c r="D107" s="15">
        <v>28</v>
      </c>
      <c r="E107" s="15">
        <v>8</v>
      </c>
      <c r="F107" s="15">
        <v>9</v>
      </c>
      <c r="G107" s="15">
        <v>27</v>
      </c>
      <c r="H107" s="32" t="s">
        <v>151</v>
      </c>
      <c r="I107" s="15" t="s">
        <v>152</v>
      </c>
    </row>
    <row r="108" spans="1:9" x14ac:dyDescent="0.35">
      <c r="A108" s="15"/>
      <c r="B108" s="15"/>
      <c r="C108" s="15" t="s">
        <v>158</v>
      </c>
      <c r="D108" s="15">
        <v>27</v>
      </c>
      <c r="E108" s="15">
        <v>8</v>
      </c>
      <c r="F108" s="15">
        <v>9</v>
      </c>
      <c r="G108" s="15">
        <v>26</v>
      </c>
      <c r="H108" s="32" t="s">
        <v>151</v>
      </c>
      <c r="I108" s="15" t="s">
        <v>152</v>
      </c>
    </row>
    <row r="109" spans="1:9" x14ac:dyDescent="0.35">
      <c r="A109" s="15"/>
      <c r="B109" s="15"/>
      <c r="C109" s="15" t="s">
        <v>159</v>
      </c>
      <c r="D109" s="15">
        <v>26</v>
      </c>
      <c r="E109" s="15">
        <v>6</v>
      </c>
      <c r="F109" s="15">
        <v>7</v>
      </c>
      <c r="G109" s="15">
        <v>25</v>
      </c>
      <c r="H109" s="38" t="s">
        <v>188</v>
      </c>
      <c r="I109" s="15" t="s">
        <v>189</v>
      </c>
    </row>
    <row r="110" spans="1:9" x14ac:dyDescent="0.35">
      <c r="A110" s="15"/>
      <c r="B110" s="15"/>
      <c r="C110" s="15" t="s">
        <v>160</v>
      </c>
      <c r="D110" s="15">
        <v>25</v>
      </c>
      <c r="E110" s="15">
        <v>6</v>
      </c>
      <c r="F110" s="15">
        <v>7</v>
      </c>
      <c r="G110" s="15">
        <v>24</v>
      </c>
      <c r="H110" s="38" t="s">
        <v>188</v>
      </c>
      <c r="I110" s="15" t="s">
        <v>189</v>
      </c>
    </row>
    <row r="111" spans="1:9" x14ac:dyDescent="0.35">
      <c r="A111" s="15"/>
      <c r="B111" s="15"/>
      <c r="C111" s="15" t="s">
        <v>161</v>
      </c>
      <c r="D111" s="15">
        <v>24</v>
      </c>
      <c r="E111" s="15">
        <v>5</v>
      </c>
      <c r="F111" s="15">
        <v>7</v>
      </c>
      <c r="G111" s="15">
        <v>22</v>
      </c>
      <c r="H111" s="32" t="s">
        <v>151</v>
      </c>
      <c r="I111" s="15" t="s">
        <v>152</v>
      </c>
    </row>
    <row r="112" spans="1:9" x14ac:dyDescent="0.35">
      <c r="A112" s="15"/>
      <c r="B112" s="15"/>
      <c r="C112" s="15" t="s">
        <v>162</v>
      </c>
      <c r="D112" s="15">
        <v>22</v>
      </c>
      <c r="E112" s="15">
        <v>6</v>
      </c>
      <c r="F112" s="15">
        <v>7</v>
      </c>
      <c r="G112" s="15">
        <v>21</v>
      </c>
      <c r="H112" s="32" t="s">
        <v>151</v>
      </c>
      <c r="I112" s="15" t="s">
        <v>152</v>
      </c>
    </row>
    <row r="113" spans="1:9" x14ac:dyDescent="0.35">
      <c r="A113" s="15"/>
      <c r="B113" s="15"/>
      <c r="C113" s="15" t="s">
        <v>163</v>
      </c>
      <c r="D113" s="15">
        <v>21</v>
      </c>
      <c r="E113" s="15">
        <v>7</v>
      </c>
      <c r="F113" s="15">
        <v>8</v>
      </c>
      <c r="G113" s="15">
        <v>20</v>
      </c>
      <c r="H113" s="32" t="s">
        <v>151</v>
      </c>
      <c r="I113" s="15" t="s">
        <v>152</v>
      </c>
    </row>
    <row r="114" spans="1:9" x14ac:dyDescent="0.35">
      <c r="A114" s="15"/>
      <c r="B114" s="15"/>
      <c r="C114" s="15" t="s">
        <v>164</v>
      </c>
      <c r="D114" s="15">
        <v>20</v>
      </c>
      <c r="E114" s="15">
        <v>30</v>
      </c>
      <c r="F114" s="15">
        <v>8</v>
      </c>
      <c r="G114" s="15">
        <v>42</v>
      </c>
      <c r="H114" s="38" t="s">
        <v>188</v>
      </c>
      <c r="I114" s="15" t="s">
        <v>189</v>
      </c>
    </row>
    <row r="115" spans="1:9" x14ac:dyDescent="0.35">
      <c r="A115" s="15"/>
      <c r="B115" s="15"/>
      <c r="C115" s="15" t="s">
        <v>167</v>
      </c>
      <c r="D115" s="15">
        <v>42</v>
      </c>
      <c r="E115" s="15">
        <v>25</v>
      </c>
      <c r="F115" s="15">
        <v>10</v>
      </c>
      <c r="G115" s="15">
        <v>57</v>
      </c>
      <c r="H115" s="38" t="s">
        <v>188</v>
      </c>
      <c r="I115" s="15" t="s">
        <v>189</v>
      </c>
    </row>
    <row r="116" spans="1:9" x14ac:dyDescent="0.35">
      <c r="A116" s="15"/>
      <c r="B116" s="15"/>
      <c r="C116" s="15" t="s">
        <v>170</v>
      </c>
      <c r="D116" s="15">
        <v>57</v>
      </c>
      <c r="E116" s="15">
        <v>5</v>
      </c>
      <c r="F116" s="15">
        <v>6</v>
      </c>
      <c r="G116" s="15">
        <v>56</v>
      </c>
      <c r="H116" s="38" t="s">
        <v>188</v>
      </c>
      <c r="I116" s="15" t="s">
        <v>189</v>
      </c>
    </row>
    <row r="117" spans="1:9" x14ac:dyDescent="0.35">
      <c r="A117" s="15"/>
      <c r="B117" s="15"/>
      <c r="C117" s="15" t="s">
        <v>171</v>
      </c>
      <c r="D117" s="15">
        <v>56</v>
      </c>
      <c r="E117" s="15">
        <v>5</v>
      </c>
      <c r="F117" s="15">
        <v>9</v>
      </c>
      <c r="G117" s="15">
        <v>52</v>
      </c>
      <c r="H117" s="38" t="s">
        <v>188</v>
      </c>
      <c r="I117" s="15" t="s">
        <v>189</v>
      </c>
    </row>
    <row r="118" spans="1:9" x14ac:dyDescent="0.35">
      <c r="A118" s="15"/>
      <c r="B118" s="15"/>
      <c r="C118" s="15" t="s">
        <v>172</v>
      </c>
      <c r="D118" s="15">
        <v>52</v>
      </c>
      <c r="E118" s="15">
        <v>5</v>
      </c>
      <c r="F118" s="15">
        <v>10</v>
      </c>
      <c r="G118" s="15">
        <v>47</v>
      </c>
      <c r="H118" s="38" t="s">
        <v>188</v>
      </c>
      <c r="I118" s="15" t="s">
        <v>189</v>
      </c>
    </row>
    <row r="119" spans="1:9" x14ac:dyDescent="0.35">
      <c r="A119" s="15"/>
      <c r="B119" s="15"/>
      <c r="C119" s="15" t="s">
        <v>175</v>
      </c>
      <c r="D119" s="15">
        <v>47</v>
      </c>
      <c r="E119" s="15">
        <v>5</v>
      </c>
      <c r="F119" s="15">
        <v>9</v>
      </c>
      <c r="G119" s="15">
        <v>43</v>
      </c>
      <c r="H119" s="38" t="s">
        <v>188</v>
      </c>
      <c r="I119" s="15" t="s">
        <v>189</v>
      </c>
    </row>
    <row r="120" spans="1:9" x14ac:dyDescent="0.35">
      <c r="A120" s="15"/>
      <c r="B120" s="15"/>
      <c r="C120" s="15" t="s">
        <v>176</v>
      </c>
      <c r="D120" s="15">
        <v>43</v>
      </c>
      <c r="E120" s="15">
        <v>13</v>
      </c>
      <c r="F120" s="15">
        <v>9</v>
      </c>
      <c r="G120" s="15">
        <v>47</v>
      </c>
      <c r="H120" s="38" t="s">
        <v>188</v>
      </c>
      <c r="I120" s="15" t="s">
        <v>189</v>
      </c>
    </row>
    <row r="121" spans="1:9" x14ac:dyDescent="0.35">
      <c r="A121" s="15"/>
      <c r="B121" s="15"/>
      <c r="C121" s="15" t="s">
        <v>177</v>
      </c>
      <c r="D121" s="15">
        <v>47</v>
      </c>
      <c r="E121" s="15">
        <v>10</v>
      </c>
      <c r="F121" s="15">
        <v>7</v>
      </c>
      <c r="G121" s="15">
        <v>50</v>
      </c>
      <c r="H121" s="38" t="s">
        <v>188</v>
      </c>
      <c r="I121" s="15" t="s">
        <v>189</v>
      </c>
    </row>
    <row r="122" spans="1:9" x14ac:dyDescent="0.35">
      <c r="A122" s="15"/>
      <c r="B122" s="15"/>
      <c r="C122" s="15" t="s">
        <v>178</v>
      </c>
      <c r="D122" s="15">
        <v>50</v>
      </c>
      <c r="E122" s="15">
        <v>8</v>
      </c>
      <c r="F122" s="15">
        <v>6</v>
      </c>
      <c r="G122" s="15">
        <v>52</v>
      </c>
      <c r="H122" s="38" t="s">
        <v>188</v>
      </c>
      <c r="I122" s="15" t="s">
        <v>189</v>
      </c>
    </row>
    <row r="123" spans="1:9" x14ac:dyDescent="0.35">
      <c r="A123" s="15"/>
      <c r="B123" s="15"/>
      <c r="C123" s="15" t="s">
        <v>179</v>
      </c>
      <c r="D123" s="15">
        <v>52</v>
      </c>
      <c r="E123" s="15">
        <v>10</v>
      </c>
      <c r="F123" s="15">
        <v>7</v>
      </c>
      <c r="G123" s="15">
        <v>55</v>
      </c>
      <c r="H123" s="38" t="s">
        <v>188</v>
      </c>
      <c r="I123" s="15" t="s">
        <v>189</v>
      </c>
    </row>
    <row r="124" spans="1:9" x14ac:dyDescent="0.35">
      <c r="A124" s="15"/>
      <c r="B124" s="15"/>
      <c r="C124" s="15" t="s">
        <v>180</v>
      </c>
      <c r="D124" s="15">
        <v>55</v>
      </c>
      <c r="E124" s="15">
        <v>10</v>
      </c>
      <c r="F124" s="15">
        <v>7</v>
      </c>
      <c r="G124" s="15">
        <v>58</v>
      </c>
      <c r="H124" s="38" t="s">
        <v>188</v>
      </c>
      <c r="I124" s="15" t="s">
        <v>189</v>
      </c>
    </row>
    <row r="125" spans="1:9" x14ac:dyDescent="0.35">
      <c r="A125" s="15"/>
      <c r="B125" s="15"/>
      <c r="C125" s="15" t="s">
        <v>181</v>
      </c>
      <c r="D125" s="15">
        <v>58</v>
      </c>
      <c r="E125" s="15">
        <v>11</v>
      </c>
      <c r="F125" s="15">
        <v>8</v>
      </c>
      <c r="G125" s="15">
        <v>61</v>
      </c>
      <c r="H125" s="38" t="s">
        <v>188</v>
      </c>
      <c r="I125" s="15" t="s">
        <v>189</v>
      </c>
    </row>
    <row r="126" spans="1:9" x14ac:dyDescent="0.35">
      <c r="A126" s="15"/>
      <c r="B126" s="15"/>
      <c r="C126" s="15" t="s">
        <v>182</v>
      </c>
      <c r="D126" s="15">
        <v>61</v>
      </c>
      <c r="E126" s="15">
        <v>11</v>
      </c>
      <c r="F126" s="15">
        <v>8</v>
      </c>
      <c r="G126" s="15">
        <v>64</v>
      </c>
      <c r="H126" s="38" t="s">
        <v>188</v>
      </c>
      <c r="I126" s="15" t="s">
        <v>189</v>
      </c>
    </row>
    <row r="127" spans="1:9" x14ac:dyDescent="0.35">
      <c r="A127" s="15"/>
      <c r="B127" s="15"/>
      <c r="C127" s="15" t="s">
        <v>183</v>
      </c>
      <c r="D127" s="15">
        <v>64</v>
      </c>
      <c r="E127" s="15">
        <v>15</v>
      </c>
      <c r="F127" s="15">
        <v>13</v>
      </c>
      <c r="G127" s="15">
        <v>66</v>
      </c>
      <c r="H127" s="38" t="s">
        <v>188</v>
      </c>
      <c r="I127" s="15" t="s">
        <v>189</v>
      </c>
    </row>
    <row r="129" spans="1:9" x14ac:dyDescent="0.35">
      <c r="A129" s="15" t="s">
        <v>193</v>
      </c>
      <c r="B129" s="15" t="s">
        <v>194</v>
      </c>
      <c r="C129" s="15" t="s">
        <v>150</v>
      </c>
      <c r="D129" s="15">
        <v>31</v>
      </c>
      <c r="E129" s="15">
        <v>6</v>
      </c>
      <c r="F129" s="15">
        <v>8</v>
      </c>
      <c r="G129" s="15">
        <v>29</v>
      </c>
      <c r="H129" s="38" t="s">
        <v>188</v>
      </c>
      <c r="I129" s="15" t="s">
        <v>189</v>
      </c>
    </row>
    <row r="130" spans="1:9" x14ac:dyDescent="0.35">
      <c r="A130" s="15"/>
      <c r="B130" s="15"/>
      <c r="C130" s="15" t="s">
        <v>153</v>
      </c>
      <c r="D130" s="15">
        <v>29</v>
      </c>
      <c r="E130" s="15">
        <v>9</v>
      </c>
      <c r="F130" s="15">
        <v>10</v>
      </c>
      <c r="G130" s="15">
        <v>28</v>
      </c>
      <c r="H130" s="32" t="s">
        <v>151</v>
      </c>
      <c r="I130" s="15" t="s">
        <v>152</v>
      </c>
    </row>
    <row r="131" spans="1:9" x14ac:dyDescent="0.35">
      <c r="A131" s="15"/>
      <c r="B131" s="15"/>
      <c r="C131" s="15" t="s">
        <v>156</v>
      </c>
      <c r="D131" s="15">
        <v>28</v>
      </c>
      <c r="E131" s="15">
        <v>10</v>
      </c>
      <c r="F131" s="15">
        <v>12</v>
      </c>
      <c r="G131" s="15">
        <v>26</v>
      </c>
      <c r="H131" s="32" t="s">
        <v>151</v>
      </c>
      <c r="I131" s="15" t="s">
        <v>152</v>
      </c>
    </row>
    <row r="132" spans="1:9" x14ac:dyDescent="0.35">
      <c r="A132" s="15"/>
      <c r="B132" s="15"/>
      <c r="C132" s="15" t="s">
        <v>157</v>
      </c>
      <c r="D132" s="15">
        <v>26</v>
      </c>
      <c r="E132" s="15">
        <v>10</v>
      </c>
      <c r="F132" s="15">
        <v>11</v>
      </c>
      <c r="G132" s="15">
        <v>25</v>
      </c>
      <c r="H132" s="32" t="s">
        <v>151</v>
      </c>
      <c r="I132" s="15" t="s">
        <v>152</v>
      </c>
    </row>
    <row r="133" spans="1:9" x14ac:dyDescent="0.35">
      <c r="A133" s="15"/>
      <c r="B133" s="15"/>
      <c r="C133" s="15" t="s">
        <v>158</v>
      </c>
      <c r="D133" s="15">
        <v>25</v>
      </c>
      <c r="E133" s="15">
        <v>10</v>
      </c>
      <c r="F133" s="15">
        <v>12</v>
      </c>
      <c r="G133" s="15">
        <v>23</v>
      </c>
      <c r="H133" s="33" t="s">
        <v>154</v>
      </c>
      <c r="I133" s="15" t="s">
        <v>155</v>
      </c>
    </row>
    <row r="134" spans="1:9" x14ac:dyDescent="0.35">
      <c r="A134" s="15"/>
      <c r="B134" s="15"/>
      <c r="C134" s="15" t="s">
        <v>159</v>
      </c>
      <c r="D134" s="15">
        <v>23</v>
      </c>
      <c r="E134" s="15">
        <v>7</v>
      </c>
      <c r="F134" s="15">
        <v>9</v>
      </c>
      <c r="G134" s="15">
        <v>21</v>
      </c>
      <c r="H134" s="32" t="s">
        <v>151</v>
      </c>
      <c r="I134" s="15" t="s">
        <v>152</v>
      </c>
    </row>
    <row r="135" spans="1:9" x14ac:dyDescent="0.35">
      <c r="A135" s="15"/>
      <c r="B135" s="15"/>
      <c r="C135" s="15" t="s">
        <v>160</v>
      </c>
      <c r="D135" s="15">
        <v>21</v>
      </c>
      <c r="E135" s="15">
        <v>7</v>
      </c>
      <c r="F135" s="15">
        <v>8</v>
      </c>
      <c r="G135" s="15">
        <v>20</v>
      </c>
      <c r="H135" s="32" t="s">
        <v>151</v>
      </c>
      <c r="I135" s="15" t="s">
        <v>152</v>
      </c>
    </row>
    <row r="136" spans="1:9" x14ac:dyDescent="0.35">
      <c r="A136" s="15"/>
      <c r="B136" s="15"/>
      <c r="C136" s="15" t="s">
        <v>161</v>
      </c>
      <c r="D136" s="15">
        <v>20</v>
      </c>
      <c r="E136" s="15">
        <v>6</v>
      </c>
      <c r="F136" s="15">
        <v>8</v>
      </c>
      <c r="G136" s="15">
        <v>18</v>
      </c>
      <c r="H136" s="32" t="s">
        <v>151</v>
      </c>
      <c r="I136" s="15" t="s">
        <v>152</v>
      </c>
    </row>
    <row r="137" spans="1:9" x14ac:dyDescent="0.35">
      <c r="A137" s="15"/>
      <c r="B137" s="15"/>
      <c r="C137" s="15" t="s">
        <v>162</v>
      </c>
      <c r="D137" s="15">
        <v>18</v>
      </c>
      <c r="E137" s="15">
        <v>8</v>
      </c>
      <c r="F137" s="15">
        <v>9</v>
      </c>
      <c r="G137" s="15">
        <v>17</v>
      </c>
      <c r="H137" s="33" t="s">
        <v>154</v>
      </c>
      <c r="I137" s="15" t="s">
        <v>155</v>
      </c>
    </row>
    <row r="138" spans="1:9" x14ac:dyDescent="0.35">
      <c r="A138" s="15"/>
      <c r="B138" s="15"/>
      <c r="C138" s="15" t="s">
        <v>163</v>
      </c>
      <c r="D138" s="15">
        <v>17</v>
      </c>
      <c r="E138" s="15">
        <v>8</v>
      </c>
      <c r="F138" s="15">
        <v>10</v>
      </c>
      <c r="G138" s="15">
        <v>15</v>
      </c>
      <c r="H138" s="33" t="s">
        <v>154</v>
      </c>
      <c r="I138" s="15" t="s">
        <v>155</v>
      </c>
    </row>
    <row r="139" spans="1:9" x14ac:dyDescent="0.35">
      <c r="A139" s="15"/>
      <c r="B139" s="15"/>
      <c r="C139" s="15" t="s">
        <v>164</v>
      </c>
      <c r="D139" s="15">
        <v>15</v>
      </c>
      <c r="E139" s="15">
        <v>50</v>
      </c>
      <c r="F139" s="15">
        <v>12</v>
      </c>
      <c r="G139" s="15">
        <v>53</v>
      </c>
      <c r="H139" s="38" t="s">
        <v>188</v>
      </c>
      <c r="I139" s="15" t="s">
        <v>189</v>
      </c>
    </row>
    <row r="140" spans="1:9" x14ac:dyDescent="0.35">
      <c r="A140" s="15"/>
      <c r="B140" s="15"/>
      <c r="C140" s="15" t="s">
        <v>167</v>
      </c>
      <c r="D140" s="15">
        <v>53</v>
      </c>
      <c r="E140" s="15">
        <v>30</v>
      </c>
      <c r="F140" s="15">
        <v>15</v>
      </c>
      <c r="G140" s="15">
        <v>68</v>
      </c>
      <c r="H140" s="38" t="s">
        <v>188</v>
      </c>
      <c r="I140" s="15" t="s">
        <v>189</v>
      </c>
    </row>
    <row r="141" spans="1:9" x14ac:dyDescent="0.35">
      <c r="A141" s="15"/>
      <c r="B141" s="15"/>
      <c r="C141" s="15" t="s">
        <v>170</v>
      </c>
      <c r="D141" s="15">
        <v>68</v>
      </c>
      <c r="E141" s="15">
        <v>10</v>
      </c>
      <c r="F141" s="15">
        <v>8</v>
      </c>
      <c r="G141" s="15">
        <v>70</v>
      </c>
      <c r="H141" s="38" t="s">
        <v>188</v>
      </c>
      <c r="I141" s="15" t="s">
        <v>189</v>
      </c>
    </row>
    <row r="142" spans="1:9" x14ac:dyDescent="0.35">
      <c r="A142" s="15"/>
      <c r="B142" s="15"/>
      <c r="C142" s="15" t="s">
        <v>171</v>
      </c>
      <c r="D142" s="15">
        <v>70</v>
      </c>
      <c r="E142" s="15">
        <v>5</v>
      </c>
      <c r="F142" s="15">
        <v>10</v>
      </c>
      <c r="G142" s="15">
        <v>65</v>
      </c>
      <c r="H142" s="38" t="s">
        <v>188</v>
      </c>
      <c r="I142" s="15" t="s">
        <v>189</v>
      </c>
    </row>
    <row r="143" spans="1:9" x14ac:dyDescent="0.35">
      <c r="A143" s="15"/>
      <c r="B143" s="15"/>
      <c r="C143" s="15" t="s">
        <v>172</v>
      </c>
      <c r="D143" s="15">
        <v>65</v>
      </c>
      <c r="E143" s="15">
        <v>5</v>
      </c>
      <c r="F143" s="15">
        <v>11</v>
      </c>
      <c r="G143" s="15">
        <v>59</v>
      </c>
      <c r="H143" s="38" t="s">
        <v>188</v>
      </c>
      <c r="I143" s="15" t="s">
        <v>189</v>
      </c>
    </row>
    <row r="144" spans="1:9" x14ac:dyDescent="0.35">
      <c r="A144" s="15"/>
      <c r="B144" s="15"/>
      <c r="C144" s="15" t="s">
        <v>175</v>
      </c>
      <c r="D144" s="15">
        <v>59</v>
      </c>
      <c r="E144" s="15">
        <v>5</v>
      </c>
      <c r="F144" s="15">
        <v>10</v>
      </c>
      <c r="G144" s="15">
        <v>54</v>
      </c>
      <c r="H144" s="38" t="s">
        <v>188</v>
      </c>
      <c r="I144" s="15" t="s">
        <v>189</v>
      </c>
    </row>
    <row r="145" spans="1:9" x14ac:dyDescent="0.35">
      <c r="A145" s="15"/>
      <c r="B145" s="15"/>
      <c r="C145" s="15" t="s">
        <v>176</v>
      </c>
      <c r="D145" s="15">
        <v>54</v>
      </c>
      <c r="E145" s="15">
        <v>19</v>
      </c>
      <c r="F145" s="15">
        <v>11</v>
      </c>
      <c r="G145" s="15">
        <v>62</v>
      </c>
      <c r="H145" s="38" t="s">
        <v>188</v>
      </c>
      <c r="I145" s="15" t="s">
        <v>189</v>
      </c>
    </row>
    <row r="146" spans="1:9" x14ac:dyDescent="0.35">
      <c r="A146" s="15"/>
      <c r="B146" s="15"/>
      <c r="C146" s="15" t="s">
        <v>177</v>
      </c>
      <c r="D146" s="15">
        <v>62</v>
      </c>
      <c r="E146" s="15">
        <v>15</v>
      </c>
      <c r="F146" s="15">
        <v>9</v>
      </c>
      <c r="G146" s="15">
        <v>68</v>
      </c>
      <c r="H146" s="38" t="s">
        <v>188</v>
      </c>
      <c r="I146" s="15" t="s">
        <v>189</v>
      </c>
    </row>
    <row r="147" spans="1:9" x14ac:dyDescent="0.35">
      <c r="A147" s="15"/>
      <c r="B147" s="15"/>
      <c r="C147" s="15" t="s">
        <v>178</v>
      </c>
      <c r="D147" s="15">
        <v>68</v>
      </c>
      <c r="E147" s="15">
        <v>12</v>
      </c>
      <c r="F147" s="15">
        <v>8</v>
      </c>
      <c r="G147" s="15">
        <v>72</v>
      </c>
      <c r="H147" s="38" t="s">
        <v>188</v>
      </c>
      <c r="I147" s="15" t="s">
        <v>189</v>
      </c>
    </row>
    <row r="148" spans="1:9" x14ac:dyDescent="0.35">
      <c r="A148" s="15"/>
      <c r="B148" s="15"/>
      <c r="C148" s="15" t="s">
        <v>179</v>
      </c>
      <c r="D148" s="15">
        <v>72</v>
      </c>
      <c r="E148" s="15">
        <v>14</v>
      </c>
      <c r="F148" s="15">
        <v>8</v>
      </c>
      <c r="G148" s="15">
        <v>78</v>
      </c>
      <c r="H148" s="38" t="s">
        <v>188</v>
      </c>
      <c r="I148" s="15" t="s">
        <v>189</v>
      </c>
    </row>
    <row r="149" spans="1:9" x14ac:dyDescent="0.35">
      <c r="A149" s="15"/>
      <c r="B149" s="15"/>
      <c r="C149" s="15" t="s">
        <v>180</v>
      </c>
      <c r="D149" s="15">
        <v>78</v>
      </c>
      <c r="E149" s="15">
        <v>15</v>
      </c>
      <c r="F149" s="15">
        <v>9</v>
      </c>
      <c r="G149" s="15">
        <v>84</v>
      </c>
      <c r="H149" s="38" t="s">
        <v>188</v>
      </c>
      <c r="I149" s="15" t="s">
        <v>189</v>
      </c>
    </row>
    <row r="150" spans="1:9" x14ac:dyDescent="0.35">
      <c r="A150" s="15"/>
      <c r="B150" s="15"/>
      <c r="C150" s="15" t="s">
        <v>181</v>
      </c>
      <c r="D150" s="15">
        <v>84</v>
      </c>
      <c r="E150" s="15">
        <v>15</v>
      </c>
      <c r="F150" s="15">
        <v>11</v>
      </c>
      <c r="G150" s="15">
        <v>88</v>
      </c>
      <c r="H150" s="38" t="s">
        <v>188</v>
      </c>
      <c r="I150" s="15" t="s">
        <v>189</v>
      </c>
    </row>
    <row r="151" spans="1:9" x14ac:dyDescent="0.35">
      <c r="A151" s="15"/>
      <c r="B151" s="15"/>
      <c r="C151" s="15" t="s">
        <v>182</v>
      </c>
      <c r="D151" s="15">
        <v>88</v>
      </c>
      <c r="E151" s="15">
        <v>18</v>
      </c>
      <c r="F151" s="15">
        <v>10</v>
      </c>
      <c r="G151" s="15">
        <v>96</v>
      </c>
      <c r="H151" s="38" t="s">
        <v>188</v>
      </c>
      <c r="I151" s="15" t="s">
        <v>189</v>
      </c>
    </row>
    <row r="152" spans="1:9" x14ac:dyDescent="0.35">
      <c r="A152" s="15"/>
      <c r="B152" s="15"/>
      <c r="C152" s="15" t="s">
        <v>183</v>
      </c>
      <c r="D152" s="15">
        <v>96</v>
      </c>
      <c r="E152" s="15">
        <v>23</v>
      </c>
      <c r="F152" s="15">
        <v>17</v>
      </c>
      <c r="G152" s="15">
        <v>102</v>
      </c>
      <c r="H152" s="38" t="s">
        <v>188</v>
      </c>
      <c r="I152" s="15" t="s">
        <v>189</v>
      </c>
    </row>
    <row r="154" spans="1:9" x14ac:dyDescent="0.35">
      <c r="A154" s="15" t="s">
        <v>195</v>
      </c>
      <c r="B154" s="15" t="s">
        <v>196</v>
      </c>
      <c r="C154" s="15" t="s">
        <v>150</v>
      </c>
      <c r="D154" s="15">
        <v>27</v>
      </c>
      <c r="E154" s="15">
        <v>7</v>
      </c>
      <c r="F154" s="15">
        <v>9</v>
      </c>
      <c r="G154" s="15">
        <v>25</v>
      </c>
      <c r="H154" s="32" t="s">
        <v>151</v>
      </c>
      <c r="I154" s="15" t="s">
        <v>152</v>
      </c>
    </row>
    <row r="155" spans="1:9" x14ac:dyDescent="0.35">
      <c r="A155" s="15"/>
      <c r="B155" s="15"/>
      <c r="C155" s="15" t="s">
        <v>153</v>
      </c>
      <c r="D155" s="15">
        <v>25</v>
      </c>
      <c r="E155" s="15">
        <v>11</v>
      </c>
      <c r="F155" s="15">
        <v>12</v>
      </c>
      <c r="G155" s="15">
        <v>24</v>
      </c>
      <c r="H155" s="33" t="s">
        <v>154</v>
      </c>
      <c r="I155" s="15" t="s">
        <v>155</v>
      </c>
    </row>
    <row r="156" spans="1:9" x14ac:dyDescent="0.35">
      <c r="A156" s="15"/>
      <c r="B156" s="15"/>
      <c r="C156" s="15" t="s">
        <v>156</v>
      </c>
      <c r="D156" s="15">
        <v>24</v>
      </c>
      <c r="E156" s="15">
        <v>10</v>
      </c>
      <c r="F156" s="15">
        <v>12</v>
      </c>
      <c r="G156" s="15">
        <v>22</v>
      </c>
      <c r="H156" s="33" t="s">
        <v>154</v>
      </c>
      <c r="I156" s="15" t="s">
        <v>155</v>
      </c>
    </row>
    <row r="157" spans="1:9" x14ac:dyDescent="0.35">
      <c r="A157" s="15"/>
      <c r="B157" s="15"/>
      <c r="C157" s="15" t="s">
        <v>157</v>
      </c>
      <c r="D157" s="15">
        <v>22</v>
      </c>
      <c r="E157" s="15">
        <v>10</v>
      </c>
      <c r="F157" s="15">
        <v>12</v>
      </c>
      <c r="G157" s="15">
        <v>20</v>
      </c>
      <c r="H157" s="33" t="s">
        <v>154</v>
      </c>
      <c r="I157" s="15" t="s">
        <v>155</v>
      </c>
    </row>
    <row r="158" spans="1:9" x14ac:dyDescent="0.35">
      <c r="A158" s="15"/>
      <c r="B158" s="15"/>
      <c r="C158" s="15" t="s">
        <v>158</v>
      </c>
      <c r="D158" s="15">
        <v>20</v>
      </c>
      <c r="E158" s="15">
        <v>10</v>
      </c>
      <c r="F158" s="15">
        <v>12</v>
      </c>
      <c r="G158" s="15">
        <v>18</v>
      </c>
      <c r="H158" s="33" t="s">
        <v>154</v>
      </c>
      <c r="I158" s="15" t="s">
        <v>155</v>
      </c>
    </row>
    <row r="159" spans="1:9" x14ac:dyDescent="0.35">
      <c r="A159" s="15"/>
      <c r="B159" s="15"/>
      <c r="C159" s="15" t="s">
        <v>159</v>
      </c>
      <c r="D159" s="15">
        <v>18</v>
      </c>
      <c r="E159" s="15">
        <v>8</v>
      </c>
      <c r="F159" s="15">
        <v>9</v>
      </c>
      <c r="G159" s="15">
        <v>17</v>
      </c>
      <c r="H159" s="33" t="s">
        <v>154</v>
      </c>
      <c r="I159" s="15" t="s">
        <v>155</v>
      </c>
    </row>
    <row r="160" spans="1:9" x14ac:dyDescent="0.35">
      <c r="A160" s="15"/>
      <c r="B160" s="15"/>
      <c r="C160" s="15" t="s">
        <v>160</v>
      </c>
      <c r="D160" s="15">
        <v>17</v>
      </c>
      <c r="E160" s="15">
        <v>8</v>
      </c>
      <c r="F160" s="15">
        <v>10</v>
      </c>
      <c r="G160" s="15">
        <v>15</v>
      </c>
      <c r="H160" s="33" t="s">
        <v>154</v>
      </c>
      <c r="I160" s="15" t="s">
        <v>155</v>
      </c>
    </row>
    <row r="161" spans="1:9" x14ac:dyDescent="0.35">
      <c r="A161" s="15"/>
      <c r="B161" s="15"/>
      <c r="C161" s="15" t="s">
        <v>161</v>
      </c>
      <c r="D161" s="15">
        <v>15</v>
      </c>
      <c r="E161" s="15">
        <v>7</v>
      </c>
      <c r="F161" s="15">
        <v>9</v>
      </c>
      <c r="G161" s="15">
        <v>13</v>
      </c>
      <c r="H161" s="33" t="s">
        <v>154</v>
      </c>
      <c r="I161" s="15" t="s">
        <v>155</v>
      </c>
    </row>
    <row r="162" spans="1:9" x14ac:dyDescent="0.35">
      <c r="A162" s="15"/>
      <c r="B162" s="15"/>
      <c r="C162" s="15" t="s">
        <v>162</v>
      </c>
      <c r="D162" s="15">
        <v>13</v>
      </c>
      <c r="E162" s="15">
        <v>9</v>
      </c>
      <c r="F162" s="15">
        <v>10</v>
      </c>
      <c r="G162" s="15">
        <v>12</v>
      </c>
      <c r="H162" s="33" t="s">
        <v>154</v>
      </c>
      <c r="I162" s="15" t="s">
        <v>155</v>
      </c>
    </row>
    <row r="163" spans="1:9" x14ac:dyDescent="0.35">
      <c r="A163" s="15"/>
      <c r="B163" s="15"/>
      <c r="C163" s="15" t="s">
        <v>163</v>
      </c>
      <c r="D163" s="15">
        <v>12</v>
      </c>
      <c r="E163" s="15">
        <v>9</v>
      </c>
      <c r="F163" s="15">
        <v>11</v>
      </c>
      <c r="G163" s="15">
        <v>10</v>
      </c>
      <c r="H163" s="33" t="s">
        <v>154</v>
      </c>
      <c r="I163" s="15" t="s">
        <v>155</v>
      </c>
    </row>
    <row r="164" spans="1:9" x14ac:dyDescent="0.35">
      <c r="A164" s="15"/>
      <c r="B164" s="15"/>
      <c r="C164" s="15" t="s">
        <v>164</v>
      </c>
      <c r="D164" s="15">
        <v>10</v>
      </c>
      <c r="E164" s="15">
        <v>40</v>
      </c>
      <c r="F164" s="15">
        <v>14</v>
      </c>
      <c r="G164" s="15">
        <v>36</v>
      </c>
      <c r="H164" s="32" t="s">
        <v>151</v>
      </c>
      <c r="I164" s="15" t="s">
        <v>152</v>
      </c>
    </row>
    <row r="165" spans="1:9" x14ac:dyDescent="0.35">
      <c r="A165" s="15"/>
      <c r="B165" s="15"/>
      <c r="C165" s="15" t="s">
        <v>167</v>
      </c>
      <c r="D165" s="15">
        <v>36</v>
      </c>
      <c r="E165" s="15">
        <v>20</v>
      </c>
      <c r="F165" s="15">
        <v>16</v>
      </c>
      <c r="G165" s="15">
        <v>40</v>
      </c>
      <c r="H165" s="32" t="s">
        <v>151</v>
      </c>
      <c r="I165" s="15" t="s">
        <v>152</v>
      </c>
    </row>
    <row r="166" spans="1:9" x14ac:dyDescent="0.35">
      <c r="A166" s="15"/>
      <c r="B166" s="15"/>
      <c r="C166" s="15" t="s">
        <v>170</v>
      </c>
      <c r="D166" s="15">
        <v>40</v>
      </c>
      <c r="E166" s="15">
        <v>8</v>
      </c>
      <c r="F166" s="15">
        <v>9</v>
      </c>
      <c r="G166" s="15">
        <v>39</v>
      </c>
      <c r="H166" s="38" t="s">
        <v>188</v>
      </c>
      <c r="I166" s="15" t="s">
        <v>189</v>
      </c>
    </row>
    <row r="167" spans="1:9" x14ac:dyDescent="0.35">
      <c r="A167" s="15"/>
      <c r="B167" s="15"/>
      <c r="C167" s="15" t="s">
        <v>171</v>
      </c>
      <c r="D167" s="15">
        <v>39</v>
      </c>
      <c r="E167" s="15">
        <v>5</v>
      </c>
      <c r="F167" s="15">
        <v>11</v>
      </c>
      <c r="G167" s="15">
        <v>33</v>
      </c>
      <c r="H167" s="32" t="s">
        <v>151</v>
      </c>
      <c r="I167" s="15" t="s">
        <v>152</v>
      </c>
    </row>
    <row r="168" spans="1:9" x14ac:dyDescent="0.35">
      <c r="A168" s="15"/>
      <c r="B168" s="15"/>
      <c r="C168" s="15" t="s">
        <v>172</v>
      </c>
      <c r="D168" s="15">
        <v>33</v>
      </c>
      <c r="E168" s="15">
        <v>5</v>
      </c>
      <c r="F168" s="15">
        <v>12</v>
      </c>
      <c r="G168" s="15">
        <v>26</v>
      </c>
      <c r="H168" s="32" t="s">
        <v>151</v>
      </c>
      <c r="I168" s="15" t="s">
        <v>152</v>
      </c>
    </row>
    <row r="169" spans="1:9" x14ac:dyDescent="0.35">
      <c r="A169" s="15"/>
      <c r="B169" s="15"/>
      <c r="C169" s="15" t="s">
        <v>175</v>
      </c>
      <c r="D169" s="15">
        <v>26</v>
      </c>
      <c r="E169" s="15">
        <v>5</v>
      </c>
      <c r="F169" s="15">
        <v>11</v>
      </c>
      <c r="G169" s="15">
        <v>20</v>
      </c>
      <c r="H169" s="33" t="s">
        <v>154</v>
      </c>
      <c r="I169" s="15" t="s">
        <v>155</v>
      </c>
    </row>
    <row r="170" spans="1:9" x14ac:dyDescent="0.35">
      <c r="A170" s="15"/>
      <c r="B170" s="15"/>
      <c r="C170" s="15" t="s">
        <v>176</v>
      </c>
      <c r="D170" s="15">
        <v>20</v>
      </c>
      <c r="E170" s="15">
        <v>17</v>
      </c>
      <c r="F170" s="15">
        <v>12</v>
      </c>
      <c r="G170" s="15">
        <v>25</v>
      </c>
      <c r="H170" s="32" t="s">
        <v>151</v>
      </c>
      <c r="I170" s="15" t="s">
        <v>152</v>
      </c>
    </row>
    <row r="171" spans="1:9" x14ac:dyDescent="0.35">
      <c r="A171" s="15"/>
      <c r="B171" s="15"/>
      <c r="C171" s="15" t="s">
        <v>177</v>
      </c>
      <c r="D171" s="15">
        <v>25</v>
      </c>
      <c r="E171" s="15">
        <v>11</v>
      </c>
      <c r="F171" s="15">
        <v>9</v>
      </c>
      <c r="G171" s="15">
        <v>27</v>
      </c>
      <c r="H171" s="32" t="s">
        <v>151</v>
      </c>
      <c r="I171" s="15" t="s">
        <v>152</v>
      </c>
    </row>
    <row r="172" spans="1:9" x14ac:dyDescent="0.35">
      <c r="A172" s="15"/>
      <c r="B172" s="15"/>
      <c r="C172" s="15" t="s">
        <v>178</v>
      </c>
      <c r="D172" s="15">
        <v>27</v>
      </c>
      <c r="E172" s="15">
        <v>10</v>
      </c>
      <c r="F172" s="15">
        <v>9</v>
      </c>
      <c r="G172" s="15">
        <v>28</v>
      </c>
      <c r="H172" s="32" t="s">
        <v>151</v>
      </c>
      <c r="I172" s="15" t="s">
        <v>152</v>
      </c>
    </row>
    <row r="173" spans="1:9" x14ac:dyDescent="0.35">
      <c r="A173" s="15"/>
      <c r="B173" s="15"/>
      <c r="C173" s="15" t="s">
        <v>179</v>
      </c>
      <c r="D173" s="15">
        <v>28</v>
      </c>
      <c r="E173" s="15">
        <v>12</v>
      </c>
      <c r="F173" s="15">
        <v>9</v>
      </c>
      <c r="G173" s="15">
        <v>31</v>
      </c>
      <c r="H173" s="38" t="s">
        <v>188</v>
      </c>
      <c r="I173" s="15" t="s">
        <v>189</v>
      </c>
    </row>
    <row r="174" spans="1:9" x14ac:dyDescent="0.35">
      <c r="A174" s="15"/>
      <c r="B174" s="15"/>
      <c r="C174" s="15" t="s">
        <v>180</v>
      </c>
      <c r="D174" s="15">
        <v>31</v>
      </c>
      <c r="E174" s="15">
        <v>11</v>
      </c>
      <c r="F174" s="15">
        <v>10</v>
      </c>
      <c r="G174" s="15">
        <v>32</v>
      </c>
      <c r="H174" s="32" t="s">
        <v>151</v>
      </c>
      <c r="I174" s="15" t="s">
        <v>152</v>
      </c>
    </row>
    <row r="175" spans="1:9" x14ac:dyDescent="0.35">
      <c r="A175" s="15"/>
      <c r="B175" s="15"/>
      <c r="C175" s="15" t="s">
        <v>181</v>
      </c>
      <c r="D175" s="15">
        <v>32</v>
      </c>
      <c r="E175" s="15">
        <v>14</v>
      </c>
      <c r="F175" s="15">
        <v>11</v>
      </c>
      <c r="G175" s="15">
        <v>35</v>
      </c>
      <c r="H175" s="32" t="s">
        <v>151</v>
      </c>
      <c r="I175" s="15" t="s">
        <v>152</v>
      </c>
    </row>
    <row r="176" spans="1:9" x14ac:dyDescent="0.35">
      <c r="A176" s="15"/>
      <c r="B176" s="15"/>
      <c r="C176" s="15" t="s">
        <v>182</v>
      </c>
      <c r="D176" s="15">
        <v>35</v>
      </c>
      <c r="E176" s="15">
        <v>15</v>
      </c>
      <c r="F176" s="15">
        <v>11</v>
      </c>
      <c r="G176" s="15">
        <v>39</v>
      </c>
      <c r="H176" s="38" t="s">
        <v>188</v>
      </c>
      <c r="I176" s="15" t="s">
        <v>189</v>
      </c>
    </row>
    <row r="177" spans="1:9" x14ac:dyDescent="0.35">
      <c r="A177" s="15"/>
      <c r="B177" s="15"/>
      <c r="C177" s="15" t="s">
        <v>183</v>
      </c>
      <c r="D177" s="15">
        <v>39</v>
      </c>
      <c r="E177" s="15">
        <v>20</v>
      </c>
      <c r="F177" s="15">
        <v>18</v>
      </c>
      <c r="G177" s="15">
        <v>41</v>
      </c>
      <c r="H177" s="32" t="s">
        <v>151</v>
      </c>
      <c r="I177" s="15" t="s">
        <v>152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9"/>
  <sheetViews>
    <sheetView tabSelected="1" topLeftCell="A6" zoomScaleNormal="100" workbookViewId="0">
      <selection activeCell="I8" sqref="I8"/>
    </sheetView>
  </sheetViews>
  <sheetFormatPr defaultColWidth="8.6328125" defaultRowHeight="14.5" x14ac:dyDescent="0.35"/>
  <cols>
    <col min="1" max="1" width="5.1796875" bestFit="1" customWidth="1"/>
    <col min="2" max="2" width="29.90625" bestFit="1" customWidth="1"/>
    <col min="3" max="3" width="15.453125" bestFit="1" customWidth="1"/>
    <col min="4" max="4" width="15.81640625" bestFit="1" customWidth="1"/>
    <col min="5" max="5" width="16.6328125" bestFit="1" customWidth="1"/>
    <col min="6" max="6" width="14.54296875" bestFit="1" customWidth="1"/>
    <col min="7" max="7" width="48.36328125" style="42" customWidth="1"/>
    <col min="8" max="8" width="10" customWidth="1"/>
    <col min="9" max="9" width="12" customWidth="1"/>
  </cols>
  <sheetData>
    <row r="1" spans="1:7" ht="18" x14ac:dyDescent="0.35">
      <c r="A1" s="3" t="s">
        <v>197</v>
      </c>
      <c r="B1" s="3"/>
      <c r="C1" s="3"/>
      <c r="D1" s="3"/>
      <c r="E1" s="3"/>
      <c r="F1" s="3"/>
      <c r="G1" s="3"/>
    </row>
    <row r="2" spans="1:7" ht="27.75" customHeight="1" x14ac:dyDescent="0.35">
      <c r="A2" s="11" t="s">
        <v>198</v>
      </c>
      <c r="B2" s="11"/>
      <c r="C2" s="11"/>
      <c r="D2" s="11"/>
      <c r="E2" s="11"/>
      <c r="F2" s="11"/>
      <c r="G2" s="11"/>
    </row>
    <row r="3" spans="1:7" x14ac:dyDescent="0.35">
      <c r="A3" s="13" t="s">
        <v>199</v>
      </c>
      <c r="B3" s="13" t="s">
        <v>200</v>
      </c>
      <c r="C3" s="13" t="s">
        <v>201</v>
      </c>
      <c r="D3" s="13" t="s">
        <v>202</v>
      </c>
      <c r="E3" s="13" t="s">
        <v>203</v>
      </c>
      <c r="F3" s="13" t="s">
        <v>204</v>
      </c>
      <c r="G3" s="41" t="s">
        <v>205</v>
      </c>
    </row>
    <row r="4" spans="1:7" ht="29" x14ac:dyDescent="0.35">
      <c r="A4">
        <v>1</v>
      </c>
      <c r="B4" s="47" t="s">
        <v>23</v>
      </c>
      <c r="C4" s="48">
        <f>SUM('Daily Data'!U4:U734)</f>
        <v>1068481</v>
      </c>
      <c r="D4" s="49">
        <f t="shared" ref="D4:D15" si="0">C4/$C$16</f>
        <v>0.34992009169805144</v>
      </c>
      <c r="E4" s="49">
        <f>D4</f>
        <v>0.34992009169805144</v>
      </c>
      <c r="F4" s="46" t="str">
        <f t="shared" ref="F4:F15" si="1">IF(E4&lt;=0.8,"A",IF(E4&lt;=0.95,"B","C"))</f>
        <v>A</v>
      </c>
      <c r="G4" s="42" t="str">
        <f t="shared" ref="G4:G15" si="2">IF(F4="A","High - core revenue driver, prioritize chemical stock &amp; skilled staff",IF(F4="B","Medium - maintain steady supply",  "Low - monitor demand, optimize/replace if needed"))</f>
        <v>High - core revenue driver, prioritize chemical stock &amp; skilled staff</v>
      </c>
    </row>
    <row r="5" spans="1:7" ht="29" x14ac:dyDescent="0.35">
      <c r="A5">
        <v>2</v>
      </c>
      <c r="B5" s="47" t="s">
        <v>27</v>
      </c>
      <c r="C5" s="48">
        <f>SUM('Daily Data'!AC4:AC734)</f>
        <v>598756</v>
      </c>
      <c r="D5" s="49">
        <f t="shared" si="0"/>
        <v>0.19608842312100869</v>
      </c>
      <c r="E5" s="49">
        <f t="shared" ref="E5:E15" si="3">E4+D5</f>
        <v>0.5460085148190601</v>
      </c>
      <c r="F5" s="46" t="str">
        <f t="shared" si="1"/>
        <v>A</v>
      </c>
      <c r="G5" s="42" t="str">
        <f t="shared" si="2"/>
        <v>High - core revenue driver, prioritize chemical stock &amp; skilled staff</v>
      </c>
    </row>
    <row r="6" spans="1:7" ht="29" x14ac:dyDescent="0.35">
      <c r="A6">
        <v>3</v>
      </c>
      <c r="B6" s="47" t="s">
        <v>26</v>
      </c>
      <c r="C6" s="48">
        <f>SUM('Daily Data'!AA4:AA734)</f>
        <v>252201</v>
      </c>
      <c r="D6" s="49">
        <f t="shared" si="0"/>
        <v>8.2594072375962016E-2</v>
      </c>
      <c r="E6" s="49">
        <f t="shared" si="3"/>
        <v>0.62860258719502216</v>
      </c>
      <c r="F6" s="46" t="str">
        <f t="shared" si="1"/>
        <v>A</v>
      </c>
      <c r="G6" s="42" t="str">
        <f t="shared" si="2"/>
        <v>High - core revenue driver, prioritize chemical stock &amp; skilled staff</v>
      </c>
    </row>
    <row r="7" spans="1:7" ht="29" x14ac:dyDescent="0.35">
      <c r="A7">
        <v>4</v>
      </c>
      <c r="B7" s="47" t="s">
        <v>30</v>
      </c>
      <c r="C7" s="48">
        <f>SUM('Daily Data'!AI4:AI734)</f>
        <v>201302</v>
      </c>
      <c r="D7" s="49">
        <f t="shared" si="0"/>
        <v>6.5925004093663003E-2</v>
      </c>
      <c r="E7" s="49">
        <f t="shared" si="3"/>
        <v>0.69452759128868513</v>
      </c>
      <c r="F7" s="46" t="str">
        <f t="shared" si="1"/>
        <v>A</v>
      </c>
      <c r="G7" s="42" t="str">
        <f t="shared" si="2"/>
        <v>High - core revenue driver, prioritize chemical stock &amp; skilled staff</v>
      </c>
    </row>
    <row r="8" spans="1:7" ht="29" x14ac:dyDescent="0.35">
      <c r="A8">
        <v>5</v>
      </c>
      <c r="B8" s="47" t="s">
        <v>34</v>
      </c>
      <c r="C8" s="48">
        <f>SUM('Daily Data'!AQ4:AQ734)</f>
        <v>187935</v>
      </c>
      <c r="D8" s="49">
        <f t="shared" si="0"/>
        <v>6.1547404617651874E-2</v>
      </c>
      <c r="E8" s="49">
        <f t="shared" si="3"/>
        <v>0.75607499590633698</v>
      </c>
      <c r="F8" s="46" t="str">
        <f t="shared" si="1"/>
        <v>A</v>
      </c>
      <c r="G8" s="42" t="str">
        <f t="shared" si="2"/>
        <v>High - core revenue driver, prioritize chemical stock &amp; skilled staff</v>
      </c>
    </row>
    <row r="9" spans="1:7" x14ac:dyDescent="0.35">
      <c r="A9">
        <v>6</v>
      </c>
      <c r="B9" s="47" t="s">
        <v>33</v>
      </c>
      <c r="C9" s="48">
        <f>SUM('Daily Data'!AO4:AO734)</f>
        <v>173303</v>
      </c>
      <c r="D9" s="49">
        <f t="shared" si="0"/>
        <v>5.6755526445063043E-2</v>
      </c>
      <c r="E9" s="49">
        <f t="shared" si="3"/>
        <v>0.81283052235140008</v>
      </c>
      <c r="F9" s="46" t="str">
        <f t="shared" si="1"/>
        <v>B</v>
      </c>
      <c r="G9" s="42" t="str">
        <f t="shared" si="2"/>
        <v>Medium - maintain steady supply</v>
      </c>
    </row>
    <row r="10" spans="1:7" x14ac:dyDescent="0.35">
      <c r="A10">
        <v>7</v>
      </c>
      <c r="B10" s="47" t="s">
        <v>32</v>
      </c>
      <c r="C10" s="48">
        <f>SUM('Daily Data'!AM4:AM734)</f>
        <v>166648</v>
      </c>
      <c r="D10" s="49">
        <f t="shared" si="0"/>
        <v>5.45760602587195E-2</v>
      </c>
      <c r="E10" s="49">
        <f t="shared" si="3"/>
        <v>0.8674065826101196</v>
      </c>
      <c r="F10" s="46" t="str">
        <f t="shared" si="1"/>
        <v>B</v>
      </c>
      <c r="G10" s="42" t="str">
        <f t="shared" si="2"/>
        <v>Medium - maintain steady supply</v>
      </c>
    </row>
    <row r="11" spans="1:7" x14ac:dyDescent="0.35">
      <c r="A11">
        <v>8</v>
      </c>
      <c r="B11" s="47" t="s">
        <v>25</v>
      </c>
      <c r="C11" s="48">
        <f>SUM('Daily Data'!Y4:Y734)</f>
        <v>114477</v>
      </c>
      <c r="D11" s="49">
        <f t="shared" si="0"/>
        <v>3.7490420828557393E-2</v>
      </c>
      <c r="E11" s="49">
        <f t="shared" si="3"/>
        <v>0.90489700343867696</v>
      </c>
      <c r="F11" s="46" t="str">
        <f t="shared" si="1"/>
        <v>B</v>
      </c>
      <c r="G11" s="42" t="str">
        <f t="shared" si="2"/>
        <v>Medium - maintain steady supply</v>
      </c>
    </row>
    <row r="12" spans="1:7" x14ac:dyDescent="0.35">
      <c r="A12">
        <v>9</v>
      </c>
      <c r="B12" s="47" t="s">
        <v>28</v>
      </c>
      <c r="C12" s="48">
        <f>SUM('Daily Data'!AE4:AE734)</f>
        <v>109451</v>
      </c>
      <c r="D12" s="49">
        <f t="shared" si="0"/>
        <v>3.5844440805632878E-2</v>
      </c>
      <c r="E12" s="49">
        <f t="shared" si="3"/>
        <v>0.94074144424430983</v>
      </c>
      <c r="F12" s="46" t="str">
        <f t="shared" si="1"/>
        <v>B</v>
      </c>
      <c r="G12" s="42" t="str">
        <f t="shared" si="2"/>
        <v>Medium - maintain steady supply</v>
      </c>
    </row>
    <row r="13" spans="1:7" x14ac:dyDescent="0.35">
      <c r="A13">
        <v>10</v>
      </c>
      <c r="B13" s="47" t="s">
        <v>31</v>
      </c>
      <c r="C13" s="48">
        <f>SUM('Daily Data'!AK4:AK734)</f>
        <v>87612</v>
      </c>
      <c r="D13" s="49">
        <f t="shared" si="0"/>
        <v>2.8692320288193875E-2</v>
      </c>
      <c r="E13" s="49">
        <f t="shared" si="3"/>
        <v>0.96943376453250374</v>
      </c>
      <c r="F13" s="46" t="str">
        <f t="shared" si="1"/>
        <v>C</v>
      </c>
      <c r="G13" s="42" t="str">
        <f t="shared" si="2"/>
        <v>Low - monitor demand, optimize/replace if needed</v>
      </c>
    </row>
    <row r="14" spans="1:7" x14ac:dyDescent="0.35">
      <c r="A14">
        <v>11</v>
      </c>
      <c r="B14" s="47" t="s">
        <v>24</v>
      </c>
      <c r="C14" s="48">
        <f>SUM('Daily Data'!W4:W734)</f>
        <v>75082</v>
      </c>
      <c r="D14" s="49">
        <f t="shared" si="0"/>
        <v>2.4588832487309645E-2</v>
      </c>
      <c r="E14" s="49">
        <f t="shared" si="3"/>
        <v>0.99402259701981344</v>
      </c>
      <c r="F14" s="46" t="str">
        <f t="shared" si="1"/>
        <v>C</v>
      </c>
      <c r="G14" s="42" t="str">
        <f t="shared" si="2"/>
        <v>Low - monitor demand, optimize/replace if needed</v>
      </c>
    </row>
    <row r="15" spans="1:7" x14ac:dyDescent="0.35">
      <c r="A15">
        <v>12</v>
      </c>
      <c r="B15" s="47" t="s">
        <v>29</v>
      </c>
      <c r="C15" s="48">
        <f>SUM('Daily Data'!AG4:AG734)</f>
        <v>18252</v>
      </c>
      <c r="D15" s="49">
        <f t="shared" si="0"/>
        <v>5.9774029801866711E-3</v>
      </c>
      <c r="E15" s="49">
        <f t="shared" si="3"/>
        <v>1</v>
      </c>
      <c r="F15" s="46" t="str">
        <f t="shared" si="1"/>
        <v>C</v>
      </c>
      <c r="G15" s="42" t="str">
        <f t="shared" si="2"/>
        <v>Low - monitor demand, optimize/replace if needed</v>
      </c>
    </row>
    <row r="16" spans="1:7" x14ac:dyDescent="0.35">
      <c r="A16" s="22"/>
      <c r="B16" s="21" t="s">
        <v>206</v>
      </c>
      <c r="C16" s="23">
        <f>SUM(C4:C15)</f>
        <v>3053500</v>
      </c>
      <c r="D16" s="40">
        <f>SUM(D4:D15)</f>
        <v>1</v>
      </c>
      <c r="E16" s="22"/>
      <c r="F16" s="22"/>
      <c r="G16" s="43"/>
    </row>
    <row r="38" spans="1:9" ht="18" x14ac:dyDescent="0.35">
      <c r="A38" s="3" t="s">
        <v>207</v>
      </c>
      <c r="B38" s="3"/>
      <c r="C38" s="3"/>
      <c r="D38" s="3"/>
      <c r="E38" s="3"/>
      <c r="F38" s="3"/>
      <c r="G38" s="3"/>
      <c r="H38" s="3"/>
    </row>
    <row r="39" spans="1:9" ht="27.75" customHeight="1" x14ac:dyDescent="0.35">
      <c r="A39" s="11" t="s">
        <v>208</v>
      </c>
      <c r="B39" s="11"/>
      <c r="C39" s="11"/>
      <c r="D39" s="11"/>
      <c r="E39" s="11"/>
      <c r="F39" s="11"/>
      <c r="G39" s="11"/>
      <c r="H39" s="11"/>
    </row>
    <row r="40" spans="1:9" x14ac:dyDescent="0.35">
      <c r="A40" s="13" t="s">
        <v>199</v>
      </c>
      <c r="B40" s="13" t="s">
        <v>209</v>
      </c>
      <c r="C40" s="13" t="s">
        <v>210</v>
      </c>
      <c r="D40" s="13" t="s">
        <v>211</v>
      </c>
      <c r="E40" s="13" t="s">
        <v>212</v>
      </c>
      <c r="F40" s="13" t="s">
        <v>213</v>
      </c>
      <c r="G40" s="41" t="s">
        <v>202</v>
      </c>
      <c r="H40" s="13" t="s">
        <v>204</v>
      </c>
      <c r="I40" s="13" t="s">
        <v>203</v>
      </c>
    </row>
    <row r="41" spans="1:9" x14ac:dyDescent="0.35">
      <c r="A41">
        <v>1</v>
      </c>
      <c r="B41" t="s">
        <v>148</v>
      </c>
      <c r="C41" t="s">
        <v>149</v>
      </c>
      <c r="D41" s="19">
        <v>250</v>
      </c>
      <c r="E41">
        <v>3213</v>
      </c>
      <c r="F41" s="19">
        <f t="shared" ref="F41:F47" si="4">D41*E41</f>
        <v>803250</v>
      </c>
      <c r="G41" s="44">
        <f t="shared" ref="G41:G47" si="5">F41/$F$48</f>
        <v>0.42770426772450149</v>
      </c>
      <c r="H41" t="str">
        <f>IF(G41&lt;=0.8,"A",IF(G41&lt;=0.95,"B","C"))</f>
        <v>A</v>
      </c>
      <c r="I41" s="39">
        <f>G41</f>
        <v>0.42770426772450149</v>
      </c>
    </row>
    <row r="42" spans="1:9" x14ac:dyDescent="0.35">
      <c r="A42">
        <v>2</v>
      </c>
      <c r="B42" t="s">
        <v>186</v>
      </c>
      <c r="C42" t="s">
        <v>187</v>
      </c>
      <c r="D42" s="19">
        <v>850</v>
      </c>
      <c r="E42">
        <v>499</v>
      </c>
      <c r="F42" s="19">
        <f t="shared" si="4"/>
        <v>424150</v>
      </c>
      <c r="G42" s="44">
        <f t="shared" si="5"/>
        <v>0.22584595724288492</v>
      </c>
      <c r="H42" t="str">
        <f t="shared" ref="H42:H47" si="6">IF(I42&lt;=0.8,"A",IF(I42&lt;=0.95,"B","C"))</f>
        <v>A</v>
      </c>
      <c r="I42" s="39">
        <f t="shared" ref="I42:I47" si="7">I41+G42</f>
        <v>0.65355022496738635</v>
      </c>
    </row>
    <row r="43" spans="1:9" x14ac:dyDescent="0.35">
      <c r="A43">
        <v>3</v>
      </c>
      <c r="B43" t="s">
        <v>184</v>
      </c>
      <c r="C43" t="s">
        <v>185</v>
      </c>
      <c r="D43" s="19">
        <v>120</v>
      </c>
      <c r="E43">
        <v>2666</v>
      </c>
      <c r="F43" s="19">
        <f t="shared" si="4"/>
        <v>319920</v>
      </c>
      <c r="G43" s="44">
        <f t="shared" si="5"/>
        <v>0.17034690237214131</v>
      </c>
      <c r="H43" t="str">
        <f t="shared" si="6"/>
        <v>B</v>
      </c>
      <c r="I43" s="39">
        <f t="shared" si="7"/>
        <v>0.82389712733952769</v>
      </c>
    </row>
    <row r="44" spans="1:9" x14ac:dyDescent="0.35">
      <c r="A44">
        <v>4</v>
      </c>
      <c r="B44" t="s">
        <v>192</v>
      </c>
      <c r="C44" t="s">
        <v>191</v>
      </c>
      <c r="D44" s="19">
        <v>950</v>
      </c>
      <c r="E44">
        <v>195</v>
      </c>
      <c r="F44" s="19">
        <f t="shared" si="4"/>
        <v>185250</v>
      </c>
      <c r="G44" s="44">
        <f t="shared" si="5"/>
        <v>9.8639546337956921E-2</v>
      </c>
      <c r="H44" t="str">
        <f t="shared" si="6"/>
        <v>B</v>
      </c>
      <c r="I44" s="39">
        <f t="shared" si="7"/>
        <v>0.9225366736774846</v>
      </c>
    </row>
    <row r="45" spans="1:9" x14ac:dyDescent="0.35">
      <c r="A45">
        <v>5</v>
      </c>
      <c r="B45" t="s">
        <v>190</v>
      </c>
      <c r="C45" t="s">
        <v>191</v>
      </c>
      <c r="D45" s="19">
        <v>180</v>
      </c>
      <c r="E45">
        <v>447</v>
      </c>
      <c r="F45" s="19">
        <f t="shared" si="4"/>
        <v>80460</v>
      </c>
      <c r="G45" s="44">
        <f t="shared" si="5"/>
        <v>4.2842309842655947E-2</v>
      </c>
      <c r="H45" t="str">
        <f t="shared" si="6"/>
        <v>C</v>
      </c>
      <c r="I45" s="39">
        <f t="shared" si="7"/>
        <v>0.96537898352014051</v>
      </c>
    </row>
    <row r="46" spans="1:9" x14ac:dyDescent="0.35">
      <c r="A46">
        <v>6</v>
      </c>
      <c r="B46" t="s">
        <v>195</v>
      </c>
      <c r="C46" t="s">
        <v>196</v>
      </c>
      <c r="D46" s="19">
        <v>160</v>
      </c>
      <c r="E46">
        <v>268</v>
      </c>
      <c r="F46" s="19">
        <f t="shared" si="4"/>
        <v>42880</v>
      </c>
      <c r="G46" s="44">
        <f t="shared" si="5"/>
        <v>2.2832192966108465E-2</v>
      </c>
      <c r="H46" t="str">
        <f t="shared" si="6"/>
        <v>C</v>
      </c>
      <c r="I46" s="39">
        <f t="shared" si="7"/>
        <v>0.98821117648624901</v>
      </c>
    </row>
    <row r="47" spans="1:9" x14ac:dyDescent="0.35">
      <c r="A47">
        <v>7</v>
      </c>
      <c r="B47" t="s">
        <v>193</v>
      </c>
      <c r="C47" t="s">
        <v>194</v>
      </c>
      <c r="D47" s="19">
        <v>90</v>
      </c>
      <c r="E47">
        <v>246</v>
      </c>
      <c r="F47" s="19">
        <f t="shared" si="4"/>
        <v>22140</v>
      </c>
      <c r="G47" s="44">
        <f t="shared" si="5"/>
        <v>1.1788823513750966E-2</v>
      </c>
      <c r="H47" t="str">
        <f t="shared" si="6"/>
        <v>C</v>
      </c>
      <c r="I47" s="39">
        <f t="shared" si="7"/>
        <v>1</v>
      </c>
    </row>
    <row r="48" spans="1:9" x14ac:dyDescent="0.35">
      <c r="A48" s="22"/>
      <c r="B48" s="21" t="s">
        <v>206</v>
      </c>
      <c r="C48" s="22"/>
      <c r="D48" s="22"/>
      <c r="E48" s="22"/>
      <c r="F48" s="23">
        <f>SUM(F41:F47)</f>
        <v>1878050</v>
      </c>
      <c r="G48" s="45">
        <f>SUM(G41:G47)</f>
        <v>1</v>
      </c>
      <c r="H48" s="22"/>
      <c r="I48" s="22"/>
    </row>
    <row r="49" spans="1:9" x14ac:dyDescent="0.35">
      <c r="A49" s="1" t="s">
        <v>214</v>
      </c>
      <c r="B49" s="1"/>
      <c r="C49" s="1"/>
      <c r="D49" s="1"/>
      <c r="E49" s="1"/>
      <c r="F49" s="1"/>
      <c r="G49" s="1"/>
      <c r="H49" s="1"/>
      <c r="I49" s="1"/>
    </row>
  </sheetData>
  <mergeCells count="5">
    <mergeCell ref="A1:G1"/>
    <mergeCell ref="A2:G2"/>
    <mergeCell ref="A38:H38"/>
    <mergeCell ref="A39:H39"/>
    <mergeCell ref="A49:I49"/>
  </mergeCells>
  <conditionalFormatting sqref="F4:F15">
    <cfRule type="cellIs" dxfId="5" priority="2" operator="equal">
      <formula>"A"</formula>
    </cfRule>
    <cfRule type="cellIs" dxfId="4" priority="3" operator="equal">
      <formula>"B"</formula>
    </cfRule>
    <cfRule type="cellIs" dxfId="3" priority="4" operator="equal">
      <formula>"C"</formula>
    </cfRule>
  </conditionalFormatting>
  <conditionalFormatting sqref="H41:H47">
    <cfRule type="cellIs" dxfId="2" priority="5" operator="equal">
      <formula>"A"</formula>
    </cfRule>
    <cfRule type="cellIs" dxfId="1" priority="6" operator="equal">
      <formula>"B"</formula>
    </cfRule>
    <cfRule type="cellIs" dxfId="0" priority="7" operator="equal">
      <formula>"C"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Daily Data</vt:lpstr>
      <vt:lpstr>Monthly Trends</vt:lpstr>
      <vt:lpstr>Weekly Trends</vt:lpstr>
      <vt:lpstr>Quarterly Trends</vt:lpstr>
      <vt:lpstr>Biannual Trends</vt:lpstr>
      <vt:lpstr>Annual &amp; YoY</vt:lpstr>
      <vt:lpstr>AM-PM Demand</vt:lpstr>
      <vt:lpstr>Inventory Tracker</vt:lpstr>
      <vt:lpstr>ABC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Mary Jheanne Avenido</cp:lastModifiedBy>
  <cp:revision>1</cp:revision>
  <dcterms:created xsi:type="dcterms:W3CDTF">2026-06-15T12:03:18Z</dcterms:created>
  <dcterms:modified xsi:type="dcterms:W3CDTF">2026-07-04T16:35:48Z</dcterms:modified>
  <dc:language>en-US</dc:language>
</cp:coreProperties>
</file>